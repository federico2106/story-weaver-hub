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23040" windowHeight="8520" tabRatio="764"/>
  </bookViews>
  <sheets>
    <sheet name="ECHENAGUCIA" sheetId="2" r:id="rId1"/>
    <sheet name="GERLI 2" sheetId="4" r:id="rId2"/>
    <sheet name="PIÑEYRO" sheetId="1" r:id="rId3"/>
    <sheet name="VILLA MARCONI" sheetId="3" r:id="rId4"/>
    <sheet name="resumen D50" sheetId="8" r:id="rId5"/>
    <sheet name="registrados para resumen" sheetId="7" r:id="rId6"/>
    <sheet name="grilla de niveles" sheetId="6" r:id="rId7"/>
    <sheet name="Hoja1" sheetId="9" state="hidden" r:id="rId8"/>
  </sheets>
  <definedNames>
    <definedName name="_xlnm.Print_Area" localSheetId="0">ECHENAGUCIA!$A$1:$M$78</definedName>
    <definedName name="_xlnm.Print_Area" localSheetId="2">PIÑEYRO!$A$1:$M$40</definedName>
    <definedName name="_xlnm.Print_Area" localSheetId="3">'VILLA MARCONI'!$A$1:$M$88</definedName>
  </definedNames>
  <calcPr calcId="162913" iterateDelta="1E-4"/>
  <fileRecoveryPr autoRecover="0"/>
</workbook>
</file>

<file path=xl/calcChain.xml><?xml version="1.0" encoding="utf-8"?>
<calcChain xmlns="http://schemas.openxmlformats.org/spreadsheetml/2006/main">
  <c r="B52" i="9" l="1"/>
  <c r="G6" i="7" l="1"/>
  <c r="G7" i="7"/>
  <c r="G8" i="7"/>
  <c r="G9" i="7"/>
  <c r="G10" i="7"/>
  <c r="G11" i="7"/>
  <c r="G12" i="7"/>
  <c r="G13" i="7"/>
  <c r="G14" i="7"/>
  <c r="G5" i="7"/>
  <c r="G15" i="7"/>
  <c r="G21" i="2" l="1"/>
  <c r="G20" i="2" l="1"/>
  <c r="G22" i="2"/>
  <c r="G23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6" i="2" l="1"/>
  <c r="G9" i="3"/>
  <c r="G7" i="3"/>
  <c r="G8" i="3"/>
  <c r="G7" i="1"/>
  <c r="I50" i="8" l="1"/>
  <c r="G76" i="3" l="1"/>
  <c r="G75" i="3"/>
  <c r="G74" i="3"/>
  <c r="G73" i="3"/>
  <c r="G72" i="3"/>
  <c r="G71" i="3"/>
  <c r="G70" i="3"/>
  <c r="G69" i="3"/>
  <c r="G68" i="3"/>
  <c r="G67" i="3"/>
  <c r="G66" i="3"/>
  <c r="G65" i="3"/>
  <c r="G59" i="3"/>
  <c r="G58" i="3"/>
  <c r="G57" i="3"/>
  <c r="G56" i="3"/>
  <c r="G55" i="3"/>
  <c r="G54" i="3"/>
  <c r="G52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16" i="3"/>
  <c r="G15" i="3"/>
  <c r="G14" i="3"/>
  <c r="G13" i="3"/>
  <c r="G12" i="3"/>
  <c r="G11" i="3"/>
  <c r="G10" i="3"/>
  <c r="G14" i="4"/>
  <c r="G13" i="4"/>
  <c r="G19" i="2"/>
  <c r="G53" i="2" l="1"/>
  <c r="G62" i="2"/>
  <c r="C50" i="8"/>
  <c r="E50" i="8"/>
  <c r="G50" i="8"/>
  <c r="L51" i="8"/>
  <c r="N50" i="8"/>
  <c r="L42" i="8"/>
  <c r="O45" i="8" s="1"/>
  <c r="L37" i="8"/>
  <c r="O40" i="8" s="1"/>
  <c r="L32" i="8"/>
  <c r="O35" i="8" s="1"/>
  <c r="L25" i="8"/>
  <c r="L16" i="8"/>
  <c r="O21" i="8" s="1"/>
  <c r="L9" i="8"/>
  <c r="L50" i="8" l="1"/>
  <c r="O50" i="8"/>
  <c r="G32" i="1" l="1"/>
  <c r="G9" i="1"/>
  <c r="G7" i="4"/>
  <c r="G27" i="4"/>
  <c r="G11" i="2"/>
  <c r="G8" i="2"/>
  <c r="G24" i="2" l="1"/>
  <c r="G14" i="1" l="1"/>
  <c r="G28" i="4"/>
  <c r="G54" i="2"/>
  <c r="G55" i="2"/>
  <c r="G21" i="1"/>
  <c r="G16" i="1"/>
  <c r="G19" i="1"/>
  <c r="G22" i="1"/>
  <c r="G22" i="4" l="1"/>
  <c r="G16" i="4"/>
  <c r="G17" i="4"/>
  <c r="G13" i="2" l="1"/>
  <c r="G18" i="4"/>
  <c r="G31" i="4"/>
  <c r="G15" i="1" l="1"/>
  <c r="G33" i="1"/>
  <c r="G18" i="1"/>
  <c r="G20" i="1"/>
  <c r="G23" i="1"/>
  <c r="G24" i="1"/>
  <c r="G25" i="1"/>
  <c r="G26" i="1"/>
  <c r="G17" i="1"/>
  <c r="G31" i="1"/>
  <c r="G8" i="1"/>
  <c r="G57" i="2"/>
  <c r="G58" i="2"/>
  <c r="G59" i="2"/>
  <c r="G60" i="2"/>
  <c r="G61" i="2"/>
  <c r="G63" i="2"/>
  <c r="G64" i="2"/>
  <c r="G65" i="2"/>
  <c r="G66" i="2"/>
  <c r="G67" i="2"/>
  <c r="G68" i="2"/>
  <c r="G69" i="2"/>
  <c r="G70" i="2"/>
  <c r="G71" i="2"/>
  <c r="G56" i="2"/>
  <c r="G10" i="2"/>
  <c r="G12" i="2"/>
  <c r="G14" i="2"/>
  <c r="G9" i="2"/>
  <c r="G30" i="4"/>
  <c r="G29" i="4"/>
  <c r="G19" i="4"/>
  <c r="G20" i="4"/>
  <c r="G21" i="4"/>
  <c r="G15" i="4"/>
  <c r="G8" i="4"/>
</calcChain>
</file>

<file path=xl/sharedStrings.xml><?xml version="1.0" encoding="utf-8"?>
<sst xmlns="http://schemas.openxmlformats.org/spreadsheetml/2006/main" count="1258" uniqueCount="448">
  <si>
    <t>Apellido</t>
  </si>
  <si>
    <t>Nombre</t>
  </si>
  <si>
    <t>Nacimiento</t>
  </si>
  <si>
    <t>Nivel de enseñanza</t>
  </si>
  <si>
    <t>Año de cursada</t>
  </si>
  <si>
    <t>Pastor del hogar</t>
  </si>
  <si>
    <t>Iglesia PIÑEYRO</t>
  </si>
  <si>
    <t>Status</t>
  </si>
  <si>
    <t>Campana</t>
  </si>
  <si>
    <t>Ofori</t>
  </si>
  <si>
    <t>Sebastian</t>
  </si>
  <si>
    <t>No concurrente</t>
  </si>
  <si>
    <t>1er. Año de Preescuela Dominical</t>
  </si>
  <si>
    <t>Crescenzi</t>
  </si>
  <si>
    <t>Federico</t>
  </si>
  <si>
    <t>Poco concurrente</t>
  </si>
  <si>
    <t>Ferrer Bonza</t>
  </si>
  <si>
    <t>Sofia</t>
  </si>
  <si>
    <t>Concurrente</t>
  </si>
  <si>
    <t>Fernandez</t>
  </si>
  <si>
    <t>Catalina</t>
  </si>
  <si>
    <t>Valentino</t>
  </si>
  <si>
    <t>2do. año Preescuela Dominical</t>
  </si>
  <si>
    <t>Solla</t>
  </si>
  <si>
    <t>1er. año Escuela Dominical</t>
  </si>
  <si>
    <t>2do. año Escuela Dominical</t>
  </si>
  <si>
    <t>Mazzantini</t>
  </si>
  <si>
    <t>4to. año Escuela Dominical</t>
  </si>
  <si>
    <t>1er. año de Religion</t>
  </si>
  <si>
    <t>2do. año de Religion</t>
  </si>
  <si>
    <t>3er. año Escuela Dominical</t>
  </si>
  <si>
    <t>3er. año de Religion</t>
  </si>
  <si>
    <t>Mia</t>
  </si>
  <si>
    <t>Valentina</t>
  </si>
  <si>
    <t>Luciana</t>
  </si>
  <si>
    <t>Bautista</t>
  </si>
  <si>
    <t>Julian</t>
  </si>
  <si>
    <t>Nicolas</t>
  </si>
  <si>
    <t>Suarez</t>
  </si>
  <si>
    <t>Santoro</t>
  </si>
  <si>
    <t>Sbaglia Aguilera</t>
  </si>
  <si>
    <t>Martin</t>
  </si>
  <si>
    <t>Moldes</t>
  </si>
  <si>
    <t>Viegas</t>
  </si>
  <si>
    <t>Año de Confirmacion</t>
  </si>
  <si>
    <t>Sosa</t>
  </si>
  <si>
    <t>Lucia</t>
  </si>
  <si>
    <t>Sanjuan</t>
  </si>
  <si>
    <t>Pedro</t>
  </si>
  <si>
    <t>Rovere</t>
  </si>
  <si>
    <t>Malena</t>
  </si>
  <si>
    <t>Zaccaro</t>
  </si>
  <si>
    <t>Joaquin</t>
  </si>
  <si>
    <t>Iglesia ECHENAGUCIA</t>
  </si>
  <si>
    <t>Elias</t>
  </si>
  <si>
    <t>Sosa David</t>
  </si>
  <si>
    <t>Umma</t>
  </si>
  <si>
    <t>4to. año de Escuela Dominical</t>
  </si>
  <si>
    <t>3er. año de Escuela Dominical</t>
  </si>
  <si>
    <t>Leon Miguel</t>
  </si>
  <si>
    <t>Agustin</t>
  </si>
  <si>
    <t>Martina</t>
  </si>
  <si>
    <t>Selena</t>
  </si>
  <si>
    <t>Gonzalez Salias</t>
  </si>
  <si>
    <t>Criscuolo</t>
  </si>
  <si>
    <t>Rey Sanjuan</t>
  </si>
  <si>
    <t>Dupuy</t>
  </si>
  <si>
    <t>Sanjuan Pablo</t>
  </si>
  <si>
    <t>Sanjuan Walter</t>
  </si>
  <si>
    <t>Criscuolo Luis</t>
  </si>
  <si>
    <t>Yebenes Ruben</t>
  </si>
  <si>
    <t>Salias Waldemar</t>
  </si>
  <si>
    <t>Branko Luca</t>
  </si>
  <si>
    <t>D'loreto</t>
  </si>
  <si>
    <t>Marrone</t>
  </si>
  <si>
    <t>Estevez</t>
  </si>
  <si>
    <t>Gian Franco</t>
  </si>
  <si>
    <t>Toneguzzi</t>
  </si>
  <si>
    <t>Rivero</t>
  </si>
  <si>
    <t>Vilases</t>
  </si>
  <si>
    <t>Santiago</t>
  </si>
  <si>
    <t>Agustina</t>
  </si>
  <si>
    <t xml:space="preserve">Martin </t>
  </si>
  <si>
    <t>Francesca</t>
  </si>
  <si>
    <t>Santino</t>
  </si>
  <si>
    <t>Avril</t>
  </si>
  <si>
    <t>Anabella</t>
  </si>
  <si>
    <t>Florencia</t>
  </si>
  <si>
    <t xml:space="preserve">Agustin </t>
  </si>
  <si>
    <t>Micaela</t>
  </si>
  <si>
    <t xml:space="preserve">Mantovani Certoma  </t>
  </si>
  <si>
    <t>Ruiz Valentino (nieto de Carpi M)</t>
  </si>
  <si>
    <t>De Los Santos Amma (Quiroga)</t>
  </si>
  <si>
    <t>Mateo</t>
  </si>
  <si>
    <t>Ocampo Jazmin   (Montesano R.)</t>
  </si>
  <si>
    <t>Albarracin</t>
  </si>
  <si>
    <t>Xiomara</t>
  </si>
  <si>
    <t>Monasterio</t>
  </si>
  <si>
    <t>Ciro</t>
  </si>
  <si>
    <t>Brenda</t>
  </si>
  <si>
    <t>Medina Duarte</t>
  </si>
  <si>
    <t>Pilar</t>
  </si>
  <si>
    <t>Rovere Liñeiro</t>
  </si>
  <si>
    <t>Tatiana Sol</t>
  </si>
  <si>
    <t>Diaz De Haro</t>
  </si>
  <si>
    <t>Biggeri Kevin B.   (Montesano R.)</t>
  </si>
  <si>
    <t xml:space="preserve">Valentin </t>
  </si>
  <si>
    <t>Ramiro</t>
  </si>
  <si>
    <t>Gomez</t>
  </si>
  <si>
    <t>Lautaro</t>
  </si>
  <si>
    <t>Regueiro</t>
  </si>
  <si>
    <t>Brisa</t>
  </si>
  <si>
    <t>Rosanelli Mantovani</t>
  </si>
  <si>
    <t>Ozan</t>
  </si>
  <si>
    <t>Antonela</t>
  </si>
  <si>
    <t>Iglesia VILLA MARCONI</t>
  </si>
  <si>
    <t>Lopez</t>
  </si>
  <si>
    <t>Vespoli</t>
  </si>
  <si>
    <t>Gonzalez</t>
  </si>
  <si>
    <t>Morena</t>
  </si>
  <si>
    <t>Maximo</t>
  </si>
  <si>
    <t>Rodriguez</t>
  </si>
  <si>
    <t>Marcos</t>
  </si>
  <si>
    <t>Velazco</t>
  </si>
  <si>
    <t>Brasuna</t>
  </si>
  <si>
    <t>Lola</t>
  </si>
  <si>
    <t>Jara</t>
  </si>
  <si>
    <t>Thiago</t>
  </si>
  <si>
    <t>Galarza</t>
  </si>
  <si>
    <t>Milena</t>
  </si>
  <si>
    <t>Linari</t>
  </si>
  <si>
    <t>Perez</t>
  </si>
  <si>
    <t>Vazquez</t>
  </si>
  <si>
    <t>Lara</t>
  </si>
  <si>
    <t>Erydan</t>
  </si>
  <si>
    <t>Velasco</t>
  </si>
  <si>
    <t>Abril</t>
  </si>
  <si>
    <t>Candela</t>
  </si>
  <si>
    <t>Rizzutti</t>
  </si>
  <si>
    <t>Luciano</t>
  </si>
  <si>
    <t>Laurido</t>
  </si>
  <si>
    <t>Thomas</t>
  </si>
  <si>
    <t>Milagros</t>
  </si>
  <si>
    <t>Matias</t>
  </si>
  <si>
    <t>Patricio Lunati</t>
  </si>
  <si>
    <t>Matias Nahuel</t>
  </si>
  <si>
    <t>Juan Ignacio</t>
  </si>
  <si>
    <t>Di Meglio</t>
  </si>
  <si>
    <t>De Aurteneche</t>
  </si>
  <si>
    <t>Gibondot</t>
  </si>
  <si>
    <t>Brunela</t>
  </si>
  <si>
    <t>Peche</t>
  </si>
  <si>
    <t>Guadalupe</t>
  </si>
  <si>
    <t>Tejada</t>
  </si>
  <si>
    <t>Alma</t>
  </si>
  <si>
    <t>Aquino</t>
  </si>
  <si>
    <t>Liam</t>
  </si>
  <si>
    <t>Pedroza</t>
  </si>
  <si>
    <t>Isabella</t>
  </si>
  <si>
    <t>Chaparro</t>
  </si>
  <si>
    <t>1er. año de Preescuela Dominical</t>
  </si>
  <si>
    <t>Carbone</t>
  </si>
  <si>
    <t>Roselli</t>
  </si>
  <si>
    <t>Cassaglia</t>
  </si>
  <si>
    <t xml:space="preserve">Miches </t>
  </si>
  <si>
    <t>Iara</t>
  </si>
  <si>
    <t>Ludmila</t>
  </si>
  <si>
    <t>Ramos</t>
  </si>
  <si>
    <t>Roldan</t>
  </si>
  <si>
    <t>Año de confirmacion</t>
  </si>
  <si>
    <t>3er.año de Escuela Dominical</t>
  </si>
  <si>
    <t>Iglesia GERLI 2</t>
  </si>
  <si>
    <t>Maestros</t>
  </si>
  <si>
    <t>Cabral Gladys / Falguera Julieta</t>
  </si>
  <si>
    <t>Reg.</t>
  </si>
  <si>
    <t>Mujica</t>
  </si>
  <si>
    <t>Martino</t>
  </si>
  <si>
    <t>Possadino</t>
  </si>
  <si>
    <t>Quintieri</t>
  </si>
  <si>
    <t>Victoria</t>
  </si>
  <si>
    <t>Jade</t>
  </si>
  <si>
    <t>Torres</t>
  </si>
  <si>
    <t>Escobar</t>
  </si>
  <si>
    <t>Gramajo</t>
  </si>
  <si>
    <t>Jeremias</t>
  </si>
  <si>
    <t>Cordoba</t>
  </si>
  <si>
    <t>Tabuchi</t>
  </si>
  <si>
    <t>Herrera</t>
  </si>
  <si>
    <t>Dante</t>
  </si>
  <si>
    <r>
      <t xml:space="preserve">PROXIMOS INGRESOS </t>
    </r>
    <r>
      <rPr>
        <sz val="11"/>
        <color theme="1"/>
        <rFont val="Calibri"/>
        <family val="2"/>
        <scheme val="minor"/>
      </rPr>
      <t>(Concurrentes / Poco concurrentes / No concurrentes)</t>
    </r>
  </si>
  <si>
    <t>Casaglia</t>
  </si>
  <si>
    <t>Navarro Viviana / Damiani Elizabeth</t>
  </si>
  <si>
    <t xml:space="preserve"> </t>
  </si>
  <si>
    <t>Villarreal</t>
  </si>
  <si>
    <t>Sanguinetti</t>
  </si>
  <si>
    <t>Mailen</t>
  </si>
  <si>
    <t>Wilde</t>
  </si>
  <si>
    <t>Bruno</t>
  </si>
  <si>
    <t>PIÑEYRO</t>
  </si>
  <si>
    <t>VILLA MARCONI</t>
  </si>
  <si>
    <t>Pentimalle</t>
  </si>
  <si>
    <t>Thiago G.</t>
  </si>
  <si>
    <t>Annacondia</t>
  </si>
  <si>
    <t>MES DE NACIMIENTO</t>
  </si>
  <si>
    <t>desde 1 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</si>
  <si>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</si>
  <si>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</si>
  <si>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</si>
  <si>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</si>
  <si>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</si>
  <si>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</si>
  <si>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</si>
  <si>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</si>
  <si>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</si>
  <si>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</si>
  <si>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hasta             30 Jun</t>
  </si>
  <si>
    <t>R1</t>
  </si>
  <si>
    <t>R2</t>
  </si>
  <si>
    <t>R3</t>
  </si>
  <si>
    <t>AC</t>
  </si>
  <si>
    <t>ED4</t>
  </si>
  <si>
    <t>ED3</t>
  </si>
  <si>
    <t>ED2</t>
  </si>
  <si>
    <t>ED1</t>
  </si>
  <si>
    <t>PD2</t>
  </si>
  <si>
    <t>PD1</t>
  </si>
  <si>
    <t>Zaccaro Natalia - natizaccaro@gmail.com - 1532410900</t>
  </si>
  <si>
    <t>Colaianni Sandra - sandramdq4@gmail.com - 1562936882 / Covatti Maria Laura - losviegas@yahoo.com.ar - 1550232983 /</t>
  </si>
  <si>
    <r>
      <rPr>
        <b/>
        <sz val="10"/>
        <color theme="1"/>
        <rFont val="Calibri"/>
        <family val="2"/>
        <scheme val="minor"/>
      </rPr>
      <t xml:space="preserve">          Rereferente:</t>
    </r>
    <r>
      <rPr>
        <sz val="10"/>
        <color theme="1"/>
        <rFont val="Calibri"/>
        <family val="2"/>
        <scheme val="minor"/>
      </rPr>
      <t xml:space="preserve">  </t>
    </r>
  </si>
  <si>
    <r>
      <rPr>
        <b/>
        <sz val="10"/>
        <color theme="1"/>
        <rFont val="Calibri"/>
        <family val="2"/>
        <scheme val="minor"/>
      </rPr>
      <t xml:space="preserve">          Multiplicadoras:</t>
    </r>
    <r>
      <rPr>
        <sz val="10"/>
        <color theme="1"/>
        <rFont val="Calibri"/>
        <family val="2"/>
        <scheme val="minor"/>
      </rPr>
      <t xml:space="preserve">  </t>
    </r>
  </si>
  <si>
    <t xml:space="preserve">Referente: </t>
  </si>
  <si>
    <t>Referente:</t>
  </si>
  <si>
    <t>Maresca</t>
  </si>
  <si>
    <t>Monzon</t>
  </si>
  <si>
    <t>Mraz</t>
  </si>
  <si>
    <t>ECHENAGUCÍA</t>
  </si>
  <si>
    <t>GERLI  2</t>
  </si>
  <si>
    <t>REGISTRADOS PARA RESUMEN</t>
  </si>
  <si>
    <t>Preescuela dominical  1</t>
  </si>
  <si>
    <t>Preescuela dominical  2</t>
  </si>
  <si>
    <t>Escuela dominical        1</t>
  </si>
  <si>
    <t>Escuela dominical        2</t>
  </si>
  <si>
    <t>Escuela dominical        3</t>
  </si>
  <si>
    <t>Escuela dominical        4</t>
  </si>
  <si>
    <t>Escuela de religion      1</t>
  </si>
  <si>
    <t>Escuela de religion      2</t>
  </si>
  <si>
    <t>Escuela de religion      3</t>
  </si>
  <si>
    <t>Gauna</t>
  </si>
  <si>
    <t>Wanda V.</t>
  </si>
  <si>
    <t>2do. año de Preescuela Dominical</t>
  </si>
  <si>
    <t>4to.año de Escuela Dominical</t>
  </si>
  <si>
    <t>Cumple en 2017</t>
  </si>
  <si>
    <t>2do. Año de Preescuela Dominical</t>
  </si>
  <si>
    <t xml:space="preserve">Bruni Alicia / Aguirre Eduardo       </t>
  </si>
  <si>
    <t>Isabela</t>
  </si>
  <si>
    <t>Pentimalle Matias</t>
  </si>
  <si>
    <t>Tavernise Ruben</t>
  </si>
  <si>
    <t>Vergara</t>
  </si>
  <si>
    <t>Banicki</t>
  </si>
  <si>
    <t>Tiziano Ian</t>
  </si>
  <si>
    <t>Lisandro L.</t>
  </si>
  <si>
    <t>Juan S.</t>
  </si>
  <si>
    <t>Yebenes Zaccaro</t>
  </si>
  <si>
    <t>Ferrara R.</t>
  </si>
  <si>
    <t>Mabelle I.</t>
  </si>
  <si>
    <t>Annacondia Carolina / Annacondia Georgina  /                                                           Bonza Gimena</t>
  </si>
  <si>
    <t>Benitez</t>
  </si>
  <si>
    <t>Becerra</t>
  </si>
  <si>
    <t>Gallardo</t>
  </si>
  <si>
    <t>Concurre</t>
  </si>
  <si>
    <t>Acosta</t>
  </si>
  <si>
    <t>Amelia</t>
  </si>
  <si>
    <t>Muñoz Amanda / Machado Cinthia</t>
  </si>
  <si>
    <t>Alvarez Graciela / Balasch Evelia</t>
  </si>
  <si>
    <t>Uriel</t>
  </si>
  <si>
    <t>Otero Lidia / Alegre Natalia</t>
  </si>
  <si>
    <t>Pastor Viegas Marcelo - marceloviegas68@yahoo.com.ar - 1550232982</t>
  </si>
  <si>
    <r>
      <rPr>
        <b/>
        <sz val="10"/>
        <color theme="1"/>
        <rFont val="Calibri"/>
        <family val="2"/>
        <scheme val="minor"/>
      </rPr>
      <t>Coordinadores:</t>
    </r>
    <r>
      <rPr>
        <sz val="10"/>
        <color theme="1"/>
        <rFont val="Calibri"/>
        <family val="2"/>
        <scheme val="minor"/>
      </rPr>
      <t xml:space="preserve">  </t>
    </r>
  </si>
  <si>
    <r>
      <rPr>
        <b/>
        <sz val="10"/>
        <color theme="1"/>
        <rFont val="Calibri"/>
        <family val="2"/>
        <scheme val="minor"/>
      </rPr>
      <t>Multiplicadoras:</t>
    </r>
    <r>
      <rPr>
        <sz val="10"/>
        <color theme="1"/>
        <rFont val="Calibri"/>
        <family val="2"/>
        <scheme val="minor"/>
      </rPr>
      <t xml:space="preserve">  </t>
    </r>
  </si>
  <si>
    <t>ECHENAGUCIA</t>
  </si>
  <si>
    <t>GERLI 2</t>
  </si>
  <si>
    <t>NIÑOS POR NIVEL</t>
  </si>
  <si>
    <t>Libros recibidos</t>
  </si>
  <si>
    <t>Libros faltantes</t>
  </si>
  <si>
    <t>Preescuela Dominical</t>
  </si>
  <si>
    <t>Gori Alicia</t>
  </si>
  <si>
    <t>Covatti Maria Laura</t>
  </si>
  <si>
    <t>Muñoz Amanda</t>
  </si>
  <si>
    <t>alicianormagori@gmail.com</t>
  </si>
  <si>
    <t>losviegas@yahoo.com.ar</t>
  </si>
  <si>
    <t>no posee mail</t>
  </si>
  <si>
    <t>Martin Yanina</t>
  </si>
  <si>
    <t>yanina.martin@hotmail.com</t>
  </si>
  <si>
    <t>XX</t>
  </si>
  <si>
    <t>Niños registrados:</t>
  </si>
  <si>
    <t>Escuela Dominical</t>
  </si>
  <si>
    <t>Lopez Sabrina</t>
  </si>
  <si>
    <t>Annacondia Carolina</t>
  </si>
  <si>
    <t>Navarro Viviana</t>
  </si>
  <si>
    <t>sabrina82207@hotmail.com</t>
  </si>
  <si>
    <t>caroannacondia@gmail.com</t>
  </si>
  <si>
    <t>vivianaenavarro@hotmail.com</t>
  </si>
  <si>
    <t>Pavluk Elizabeth</t>
  </si>
  <si>
    <t>Ramos Melina</t>
  </si>
  <si>
    <t>Annacondia Georgina</t>
  </si>
  <si>
    <t>Damiani Elizabeth</t>
  </si>
  <si>
    <t>elizabethpavluk@live.com.ar</t>
  </si>
  <si>
    <t>meluchidenise@hotmail.com</t>
  </si>
  <si>
    <t>gannacondia86@gmail.com</t>
  </si>
  <si>
    <t>damiani_elizabeth@yahoo.com.ar</t>
  </si>
  <si>
    <t>Santoro Hernan</t>
  </si>
  <si>
    <t>Cabral Gladys</t>
  </si>
  <si>
    <t>hps2@hotmail.com</t>
  </si>
  <si>
    <t>Tavernise Natalia</t>
  </si>
  <si>
    <t>Falguera Julieta</t>
  </si>
  <si>
    <t>natalia.dte@hotmail.com</t>
  </si>
  <si>
    <t>julietafalguera@hotmail.com</t>
  </si>
  <si>
    <t xml:space="preserve"> Puente Melisa</t>
  </si>
  <si>
    <t>Passuni Diego</t>
  </si>
  <si>
    <t>Alvarez Graciela</t>
  </si>
  <si>
    <t>meli_laakd_25@hotmail.com</t>
  </si>
  <si>
    <t>passu1983@yahoo.com.ar</t>
  </si>
  <si>
    <t>gracrial@yahoo.com.ar</t>
  </si>
  <si>
    <t>Balasch Evelia</t>
  </si>
  <si>
    <t>joseluisfortuny@yahoo.com</t>
  </si>
  <si>
    <t>Hernandez Claudia</t>
  </si>
  <si>
    <t>claudia16_36@hotmail.com</t>
  </si>
  <si>
    <t>Bruni Alicia</t>
  </si>
  <si>
    <t>Otero Lidia</t>
  </si>
  <si>
    <t>giselatrascierra@hotmail.com</t>
  </si>
  <si>
    <t>aliciabruni@hotmail.com</t>
  </si>
  <si>
    <t>oterolidia@yahoo.com.ar</t>
  </si>
  <si>
    <t>Aguirre Eduardo</t>
  </si>
  <si>
    <t>Linari Natalia</t>
  </si>
  <si>
    <t>1535504521|</t>
  </si>
  <si>
    <t>ignacio2296@live.com.ar</t>
  </si>
  <si>
    <t>natalialinari@hotmail.com.ar</t>
  </si>
  <si>
    <t>Alegre Natalia</t>
  </si>
  <si>
    <t>nataliaalegre85@yahoo.com.ar</t>
  </si>
  <si>
    <t>Morales Federico</t>
  </si>
  <si>
    <t>fede_morales@hotmail.com</t>
  </si>
  <si>
    <t>Morales Viviana</t>
  </si>
  <si>
    <t>vmorales@senaf.gob.ar</t>
  </si>
  <si>
    <t>Niños</t>
  </si>
  <si>
    <t xml:space="preserve">Gulli Mariela    </t>
  </si>
  <si>
    <t>marielagulli@gmail.com</t>
  </si>
  <si>
    <t>Colaianni Sandra</t>
  </si>
  <si>
    <t>sandramdq4@gmail.com</t>
  </si>
  <si>
    <t>Zaccaro Natalia</t>
  </si>
  <si>
    <t>natizaccaro@gmail.com</t>
  </si>
  <si>
    <t>Trascierra Gisela</t>
  </si>
  <si>
    <t>Ramos Chistian</t>
  </si>
  <si>
    <t>Covatti Maria L. /   Martin Yanina</t>
  </si>
  <si>
    <t>Bonza Gimena</t>
  </si>
  <si>
    <t>Moldes Alejandro</t>
  </si>
  <si>
    <t>marceloviegas68@yahoo.com.ar</t>
  </si>
  <si>
    <t>alejogaita@hotmail.com</t>
  </si>
  <si>
    <t>Machado Cinthia</t>
  </si>
  <si>
    <t>Referentes</t>
  </si>
  <si>
    <t>Viegas Marcelo</t>
  </si>
  <si>
    <t>Covian Lorena</t>
  </si>
  <si>
    <t>covi96@yahoo.com.ar</t>
  </si>
  <si>
    <t>Herrera Lorena</t>
  </si>
  <si>
    <t>Bustos</t>
  </si>
  <si>
    <t>Giacusa</t>
  </si>
  <si>
    <t>Rey</t>
  </si>
  <si>
    <t>Cabral</t>
  </si>
  <si>
    <t>Puente</t>
  </si>
  <si>
    <t>Maximo Julian</t>
  </si>
  <si>
    <t>Benjamin T.</t>
  </si>
  <si>
    <t>Padilla</t>
  </si>
  <si>
    <t>Maximo S.</t>
  </si>
  <si>
    <t>Luz Morena</t>
  </si>
  <si>
    <t>Abigail</t>
  </si>
  <si>
    <t>Perez Yaccuzzi Maira</t>
  </si>
  <si>
    <t>mairaperezyaccuzzi@gmail.com</t>
  </si>
  <si>
    <t>Gulli Mariela / Hernandez C.</t>
  </si>
  <si>
    <r>
      <t>NO REGISTRADOS</t>
    </r>
    <r>
      <rPr>
        <sz val="11"/>
        <color theme="1"/>
        <rFont val="Calibri"/>
        <family val="2"/>
        <scheme val="minor"/>
      </rPr>
      <t xml:space="preserve"> (No concurrentes)</t>
    </r>
    <r>
      <rPr>
        <b/>
        <sz val="11"/>
        <color theme="1"/>
        <rFont val="Calibri"/>
        <family val="2"/>
        <scheme val="minor"/>
      </rPr>
      <t xml:space="preserve"> - CICLO  2018</t>
    </r>
  </si>
  <si>
    <r>
      <t xml:space="preserve">REGISTRADOS </t>
    </r>
    <r>
      <rPr>
        <sz val="11"/>
        <color theme="1"/>
        <rFont val="Calibri"/>
        <family val="2"/>
        <scheme val="minor"/>
      </rPr>
      <t>(Concurrentes / Poco concurrentes)</t>
    </r>
    <r>
      <rPr>
        <b/>
        <sz val="11"/>
        <color theme="1"/>
        <rFont val="Calibri"/>
        <family val="2"/>
        <scheme val="minor"/>
      </rPr>
      <t xml:space="preserve"> - CICLO  2018</t>
    </r>
  </si>
  <si>
    <t>Cumple en 2018</t>
  </si>
  <si>
    <t>1er. Año de Escuela Dominical</t>
  </si>
  <si>
    <t>Linari Federico / Morales Federico /  Natalia Linaria</t>
  </si>
  <si>
    <t xml:space="preserve"> Pastor Linari Federico  -  linarifederico@gmail.com  -  1556410672</t>
  </si>
  <si>
    <t>Linari Federico</t>
  </si>
  <si>
    <t>linarifederico@gmail.com</t>
  </si>
  <si>
    <t>Trujillo Florencia</t>
  </si>
  <si>
    <t>Resumen de enseñanzas   -   Obispado 7 / Distrito 50   -   Año 2018</t>
  </si>
  <si>
    <t>Albasetti Alegre</t>
  </si>
  <si>
    <t>Diaz Guibondot</t>
  </si>
  <si>
    <t>Oseias Andres</t>
  </si>
  <si>
    <t>Nina</t>
  </si>
  <si>
    <t>Pentimale</t>
  </si>
  <si>
    <t>Kiara Magali</t>
  </si>
  <si>
    <t>Goffredo</t>
  </si>
  <si>
    <t>Alvarez Viviana</t>
  </si>
  <si>
    <t>Pastor Pentimalle Matias  -  matt_pentimalle@hotmail.com -  1531538944</t>
  </si>
  <si>
    <t xml:space="preserve">matt_pentimalle@hotmail.com </t>
  </si>
  <si>
    <t>matt_pentimalle@hotmail.com</t>
  </si>
  <si>
    <t>Gonzalez Sebastian</t>
  </si>
  <si>
    <t>se.ja.gonzalez@gmail.com</t>
  </si>
  <si>
    <t>Salias</t>
  </si>
  <si>
    <t>Pastor Rovere Martin - martin@sommeil.com.ar - 1569780449  /  Pastor Viegas Marcelo - marceloviegas68@yahoo.com.ar - 1550232982</t>
  </si>
  <si>
    <t>Pastor Rovere Martin - martin@sommeil.com.ar - 1569780449  / Pastor Viegas Marcelo - marceloviegas68@yahoo.com.ar - 1550232982</t>
  </si>
  <si>
    <t>Rovere Martin</t>
  </si>
  <si>
    <t>vivimar_alvarez@yahoo.com.ar</t>
  </si>
  <si>
    <t>Pastor Gonzalez Sebastian  -  se.ja.gonzalez@gmail.com  -  1536209970</t>
  </si>
  <si>
    <t>Oscar Vila</t>
  </si>
  <si>
    <t>Pablo SanJuan</t>
  </si>
  <si>
    <t>Colaianni S. / Herrera L.</t>
  </si>
  <si>
    <t>Vila Oscar</t>
  </si>
  <si>
    <t>Covian Lorena /                                                                                     Alvarez Viviana</t>
  </si>
  <si>
    <t xml:space="preserve">Concurrente </t>
  </si>
  <si>
    <t xml:space="preserve">Ramos Melina </t>
  </si>
  <si>
    <t>Sabrina Lopez / Tavernise Natalia / Trujillo Florencia</t>
  </si>
  <si>
    <t>Moldes Alejandro / Viegas Juan</t>
  </si>
  <si>
    <t>Viegas Marcelo / Santoro Hernan</t>
  </si>
  <si>
    <t>Actualizacion:   25/02/2018</t>
  </si>
  <si>
    <t>Viega Juan</t>
  </si>
  <si>
    <t>Actualizacion: 25/02/2018</t>
  </si>
  <si>
    <t>TOTAL</t>
  </si>
  <si>
    <t xml:space="preserve">Ramos Chistian / Trascierra Gisela / Perez Yaccuzzi Maira                                                                                        </t>
  </si>
  <si>
    <t>Gori Alicia /                                                                                                               Elizabeth Pavluk</t>
  </si>
  <si>
    <t>Pentimalle Matias /                                             Morales Viviana</t>
  </si>
  <si>
    <t>Puente Melisa  /                                                         Zaccaro Natalia</t>
  </si>
  <si>
    <t>Vila</t>
  </si>
  <si>
    <t>Echenagucia</t>
  </si>
  <si>
    <t>Gerli 2</t>
  </si>
  <si>
    <t>Piñeyro</t>
  </si>
  <si>
    <t>Villa Marconi</t>
  </si>
  <si>
    <t xml:space="preserve">Trascierra Gisela </t>
  </si>
  <si>
    <t xml:space="preserve">Perez Yaccuzzi Maira     </t>
  </si>
  <si>
    <t>Viegas Juan</t>
  </si>
  <si>
    <t xml:space="preserve">Aguirre Eduardo       </t>
  </si>
  <si>
    <t>Natalia Linaria</t>
  </si>
  <si>
    <t>Elizabeth Pavluk</t>
  </si>
  <si>
    <t xml:space="preserve">Gulli Mariela </t>
  </si>
  <si>
    <t xml:space="preserve">Sabrina Lopez    </t>
  </si>
  <si>
    <t xml:space="preserve">Moldes Alejandro  </t>
  </si>
  <si>
    <t xml:space="preserve">Bruni Alicia  </t>
  </si>
  <si>
    <t xml:space="preserve">Viegas Marcelo </t>
  </si>
  <si>
    <t xml:space="preserve">Muñoz Amanda  </t>
  </si>
  <si>
    <t xml:space="preserve">Navarro Viviana  </t>
  </si>
  <si>
    <t xml:space="preserve">Cabral Gladys  </t>
  </si>
  <si>
    <t xml:space="preserve">Alvarez Graciela  </t>
  </si>
  <si>
    <t xml:space="preserve">Otero Lidia  </t>
  </si>
  <si>
    <t xml:space="preserve">Linari Federico     </t>
  </si>
  <si>
    <t>Puente Melisa</t>
  </si>
  <si>
    <t>juaniiv97@gmailcom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</si>
</sst>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9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Arial"/>
      <family val="2"/>
    </font>
    <font>
      <b/>
      <sz val="18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</borders>
  <cellStyleXfs count="3">
    <xf numFmtId="0" fontId="0" fillId="0" borderId="0"/>
    <xf numFmtId="0" fontId="5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2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1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 wrapText="1"/>
    </xf>
    <xf numFmtId="1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left" vertical="center"/>
    </xf>
    <xf numFmtId="0" fontId="4" fillId="3" borderId="2" xfId="0" applyFont="1" applyFill="1" applyBorder="1" applyAlignment="1" applyProtection="1">
      <alignment horizontal="left" vertical="center"/>
    </xf>
    <xf numFmtId="0" fontId="2" fillId="3" borderId="2" xfId="0" applyFont="1" applyFill="1" applyBorder="1" applyAlignment="1" applyProtection="1">
      <alignment vertical="center"/>
    </xf>
    <xf numFmtId="0" fontId="7" fillId="3" borderId="2" xfId="0" applyFont="1" applyFill="1" applyBorder="1" applyAlignment="1" applyProtection="1">
      <alignment vertical="center"/>
    </xf>
    <xf numFmtId="0" fontId="2" fillId="3" borderId="1" xfId="0" applyFont="1" applyFill="1" applyBorder="1" applyAlignment="1" applyProtection="1">
      <alignment horizontal="center" vertical="center"/>
    </xf>
    <xf numFmtId="1" fontId="7" fillId="3" borderId="1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1" fillId="0" borderId="0" xfId="0" applyFont="1" applyAlignment="1" applyProtection="1">
      <alignment horizontal="left" vertical="center"/>
    </xf>
    <xf numFmtId="0" fontId="0" fillId="0" borderId="0" xfId="0" applyFont="1" applyAlignment="1" applyProtection="1">
      <alignment horizontal="left" vertical="center"/>
    </xf>
    <xf numFmtId="0" fontId="0" fillId="0" borderId="0" xfId="0" applyFont="1" applyAlignment="1" applyProtection="1">
      <alignment horizontal="center" vertical="center"/>
    </xf>
    <xf numFmtId="0" fontId="11" fillId="0" borderId="0" xfId="0" applyFont="1" applyFill="1" applyAlignment="1" applyProtection="1">
      <alignment horizontal="left" vertical="center"/>
    </xf>
    <xf numFmtId="0" fontId="1" fillId="3" borderId="2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6" fillId="3" borderId="2" xfId="1" applyNumberFormat="1" applyFont="1" applyFill="1" applyBorder="1" applyAlignment="1" applyProtection="1">
      <alignment horizontal="left" vertical="center" wrapText="1"/>
    </xf>
    <xf numFmtId="0" fontId="6" fillId="3" borderId="3" xfId="0" applyFont="1" applyFill="1" applyBorder="1" applyAlignment="1" applyProtection="1">
      <alignment horizontal="left" vertical="center"/>
    </xf>
    <xf numFmtId="0" fontId="6" fillId="0" borderId="1" xfId="1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left" vertical="center"/>
    </xf>
    <xf numFmtId="0" fontId="2" fillId="3" borderId="3" xfId="0" applyFont="1" applyFill="1" applyBorder="1" applyAlignment="1" applyProtection="1">
      <alignment horizontal="left" vertical="center"/>
    </xf>
    <xf numFmtId="0" fontId="8" fillId="0" borderId="1" xfId="0" applyFont="1" applyFill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3" borderId="2" xfId="1" applyFont="1" applyFill="1" applyBorder="1" applyAlignment="1" applyProtection="1">
      <alignment horizontal="left" vertical="center" wrapText="1"/>
    </xf>
    <xf numFmtId="0" fontId="6" fillId="0" borderId="1" xfId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vertical="center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</xf>
    <xf numFmtId="1" fontId="8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16" fontId="0" fillId="0" borderId="0" xfId="0" applyNumberFormat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" fontId="2" fillId="0" borderId="1" xfId="0" applyNumberFormat="1" applyFont="1" applyBorder="1" applyAlignment="1" applyProtection="1">
      <alignment horizontal="center" vertical="center"/>
    </xf>
    <xf numFmtId="0" fontId="12" fillId="3" borderId="2" xfId="0" applyFont="1" applyFill="1" applyBorder="1" applyAlignment="1" applyProtection="1">
      <alignment horizontal="left" vertical="center" wrapText="1"/>
    </xf>
    <xf numFmtId="14" fontId="7" fillId="3" borderId="3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 applyProtection="1">
      <alignment vertical="center"/>
    </xf>
    <xf numFmtId="0" fontId="6" fillId="3" borderId="2" xfId="0" applyFont="1" applyFill="1" applyBorder="1" applyAlignment="1" applyProtection="1">
      <alignment vertical="center"/>
    </xf>
    <xf numFmtId="0" fontId="6" fillId="3" borderId="3" xfId="0" applyFont="1" applyFill="1" applyBorder="1" applyAlignment="1" applyProtection="1">
      <alignment vertical="center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left" vertical="center"/>
    </xf>
    <xf numFmtId="0" fontId="3" fillId="3" borderId="3" xfId="0" applyFont="1" applyFill="1" applyBorder="1" applyAlignment="1" applyProtection="1">
      <alignment horizontal="left" vertical="center"/>
    </xf>
    <xf numFmtId="0" fontId="3" fillId="3" borderId="2" xfId="0" applyFont="1" applyFill="1" applyBorder="1" applyAlignment="1" applyProtection="1">
      <alignment vertical="center"/>
    </xf>
    <xf numFmtId="0" fontId="3" fillId="3" borderId="3" xfId="0" applyFont="1" applyFill="1" applyBorder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2" fillId="3" borderId="18" xfId="0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23" fillId="3" borderId="32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9" fillId="0" borderId="21" xfId="0" applyFont="1" applyBorder="1" applyAlignment="1">
      <alignment vertical="center" wrapText="1"/>
    </xf>
    <xf numFmtId="0" fontId="9" fillId="0" borderId="21" xfId="0" applyFont="1" applyBorder="1" applyAlignment="1">
      <alignment horizontal="center" vertical="center"/>
    </xf>
    <xf numFmtId="0" fontId="15" fillId="3" borderId="28" xfId="2" applyFont="1" applyFill="1" applyBorder="1" applyAlignment="1" applyProtection="1">
      <alignment horizontal="center" vertical="center"/>
    </xf>
    <xf numFmtId="0" fontId="15" fillId="3" borderId="25" xfId="2" applyFont="1" applyFill="1" applyBorder="1" applyAlignment="1" applyProtection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left" vertical="center"/>
    </xf>
    <xf numFmtId="0" fontId="2" fillId="3" borderId="3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13" fillId="2" borderId="29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13" fillId="3" borderId="29" xfId="0" applyFont="1" applyFill="1" applyBorder="1" applyAlignment="1" applyProtection="1">
      <alignment horizontal="center" vertical="center"/>
    </xf>
    <xf numFmtId="0" fontId="6" fillId="3" borderId="1" xfId="1" applyFont="1" applyFill="1" applyBorder="1" applyAlignment="1" applyProtection="1">
      <alignment horizontal="center" vertical="center" wrapText="1"/>
      <protection locked="0"/>
    </xf>
    <xf numFmtId="0" fontId="13" fillId="3" borderId="29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2" fillId="0" borderId="0" xfId="0" applyFont="1" applyAlignment="1" applyProtection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15" fillId="3" borderId="35" xfId="2" applyFont="1" applyFill="1" applyBorder="1" applyAlignment="1" applyProtection="1">
      <alignment horizontal="center" vertical="center"/>
      <protection locked="0"/>
    </xf>
    <xf numFmtId="0" fontId="5" fillId="0" borderId="3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17" fillId="8" borderId="4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3" borderId="23" xfId="2" applyFont="1" applyFill="1" applyBorder="1" applyAlignment="1" applyProtection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5" fillId="2" borderId="26" xfId="2" applyFont="1" applyFill="1" applyBorder="1" applyAlignment="1" applyProtection="1">
      <alignment horizontal="center" vertical="center"/>
      <protection locked="0"/>
    </xf>
    <xf numFmtId="0" fontId="13" fillId="2" borderId="27" xfId="0" applyFont="1" applyFill="1" applyBorder="1" applyAlignment="1" applyProtection="1">
      <alignment horizontal="center" vertical="center"/>
      <protection locked="0"/>
    </xf>
    <xf numFmtId="0" fontId="13" fillId="3" borderId="0" xfId="2" applyFont="1" applyFill="1" applyBorder="1" applyAlignment="1" applyProtection="1">
      <alignment horizontal="center" vertical="center"/>
    </xf>
    <xf numFmtId="0" fontId="15" fillId="3" borderId="0" xfId="2" applyFont="1" applyFill="1" applyBorder="1" applyAlignment="1" applyProtection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13" fillId="3" borderId="24" xfId="0" applyFont="1" applyFill="1" applyBorder="1" applyAlignment="1" applyProtection="1">
      <alignment horizontal="center" vertical="center"/>
      <protection locked="0"/>
    </xf>
    <xf numFmtId="0" fontId="13" fillId="3" borderId="24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24" xfId="2" applyFont="1" applyFill="1" applyBorder="1" applyAlignment="1" applyProtection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27" fillId="0" borderId="0" xfId="0" applyFont="1" applyBorder="1" applyAlignment="1">
      <alignment horizontal="left"/>
    </xf>
    <xf numFmtId="0" fontId="27" fillId="0" borderId="0" xfId="0" applyFont="1" applyBorder="1" applyAlignment="1">
      <alignment horizontal="left" vertical="center"/>
    </xf>
    <xf numFmtId="0" fontId="27" fillId="0" borderId="0" xfId="0" applyFont="1" applyBorder="1" applyAlignment="1" applyProtection="1">
      <alignment horizontal="left" vertical="center"/>
    </xf>
    <xf numFmtId="0" fontId="27" fillId="0" borderId="0" xfId="0" applyFont="1" applyFill="1" applyBorder="1" applyAlignment="1" applyProtection="1">
      <alignment horizontal="left" vertical="center"/>
    </xf>
    <xf numFmtId="0" fontId="28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15" fillId="0" borderId="0" xfId="2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>
      <alignment vertical="center"/>
    </xf>
    <xf numFmtId="0" fontId="2" fillId="0" borderId="4" xfId="0" applyFont="1" applyBorder="1" applyAlignment="1" applyProtection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0" fillId="0" borderId="5" xfId="0" applyFill="1" applyBorder="1" applyAlignment="1" applyProtection="1">
      <alignment horizontal="center" vertical="center"/>
    </xf>
    <xf numFmtId="0" fontId="0" fillId="0" borderId="6" xfId="0" applyFill="1" applyBorder="1" applyAlignment="1" applyProtection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0" borderId="0" xfId="2" applyFont="1" applyFill="1" applyBorder="1" applyAlignment="1" applyProtection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3" fillId="3" borderId="25" xfId="2" applyFont="1" applyFill="1" applyBorder="1" applyAlignment="1" applyProtection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5" fillId="3" borderId="36" xfId="2" applyFont="1" applyFill="1" applyBorder="1" applyAlignment="1" applyProtection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24" fillId="3" borderId="36" xfId="2" applyFont="1" applyFill="1" applyBorder="1" applyAlignment="1" applyProtection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15" fillId="3" borderId="37" xfId="2" applyFont="1" applyFill="1" applyBorder="1" applyAlignment="1" applyProtection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5" fillId="3" borderId="26" xfId="2" applyFont="1" applyFill="1" applyBorder="1" applyAlignment="1" applyProtection="1">
      <alignment horizontal="center" vertical="center"/>
    </xf>
    <xf numFmtId="0" fontId="24" fillId="3" borderId="26" xfId="2" applyFont="1" applyFill="1" applyBorder="1" applyAlignment="1" applyProtection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vertical="center" wrapText="1"/>
    </xf>
    <xf numFmtId="0" fontId="8" fillId="0" borderId="22" xfId="0" applyFont="1" applyBorder="1" applyAlignment="1">
      <alignment wrapText="1"/>
    </xf>
    <xf numFmtId="0" fontId="0" fillId="0" borderId="30" xfId="0" applyBorder="1" applyAlignment="1">
      <alignment wrapText="1"/>
    </xf>
    <xf numFmtId="0" fontId="8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4" fillId="3" borderId="0" xfId="2" applyFont="1" applyFill="1" applyBorder="1" applyAlignment="1" applyProtection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15" fillId="3" borderId="0" xfId="2" applyFont="1" applyFill="1" applyBorder="1" applyAlignment="1" applyProtection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0" fillId="0" borderId="30" xfId="0" applyBorder="1" applyAlignment="1">
      <alignment vertical="center" wrapText="1"/>
    </xf>
    <xf numFmtId="0" fontId="15" fillId="3" borderId="25" xfId="2" applyFont="1" applyFill="1" applyBorder="1" applyAlignment="1" applyProtection="1">
      <alignment horizontal="center" vertical="center"/>
    </xf>
    <xf numFmtId="0" fontId="15" fillId="3" borderId="27" xfId="2" applyFont="1" applyFill="1" applyBorder="1" applyAlignment="1" applyProtection="1">
      <alignment horizontal="center" vertical="center"/>
    </xf>
    <xf numFmtId="0" fontId="13" fillId="3" borderId="0" xfId="2" applyFont="1" applyFill="1" applyBorder="1" applyAlignment="1" applyProtection="1">
      <alignment horizontal="center" vertical="center"/>
    </xf>
    <xf numFmtId="0" fontId="8" fillId="0" borderId="22" xfId="0" applyFont="1" applyBorder="1" applyAlignment="1">
      <alignment vertical="center" wrapText="1"/>
    </xf>
    <xf numFmtId="0" fontId="8" fillId="0" borderId="27" xfId="0" applyFont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5" fillId="3" borderId="44" xfId="2" applyFont="1" applyFill="1" applyBorder="1" applyAlignment="1" applyProtection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24" fillId="3" borderId="25" xfId="2" applyFont="1" applyFill="1" applyBorder="1" applyAlignment="1" applyProtection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3" borderId="27" xfId="2" applyFont="1" applyFill="1" applyBorder="1" applyAlignment="1" applyProtection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15" fillId="3" borderId="26" xfId="2" applyFont="1" applyFill="1" applyBorder="1" applyAlignment="1" applyProtection="1">
      <alignment horizontal="center" vertical="center"/>
      <protection locked="0"/>
    </xf>
    <xf numFmtId="0" fontId="13" fillId="3" borderId="27" xfId="0" applyFont="1" applyFill="1" applyBorder="1" applyAlignment="1" applyProtection="1">
      <alignment horizontal="center" vertical="center"/>
      <protection locked="0"/>
    </xf>
    <xf numFmtId="0" fontId="15" fillId="2" borderId="25" xfId="2" applyFont="1" applyFill="1" applyBorder="1" applyAlignment="1" applyProtection="1">
      <alignment horizontal="center" vertical="center"/>
      <protection locked="0"/>
    </xf>
    <xf numFmtId="0" fontId="13" fillId="2" borderId="27" xfId="0" applyFont="1" applyFill="1" applyBorder="1" applyAlignment="1" applyProtection="1">
      <alignment horizontal="center" vertical="center"/>
      <protection locked="0"/>
    </xf>
    <xf numFmtId="0" fontId="13" fillId="3" borderId="23" xfId="0" applyFont="1" applyFill="1" applyBorder="1" applyAlignment="1">
      <alignment horizontal="center" vertical="center"/>
    </xf>
    <xf numFmtId="0" fontId="15" fillId="3" borderId="23" xfId="2" applyFont="1" applyFill="1" applyBorder="1" applyAlignment="1" applyProtection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5" fillId="0" borderId="26" xfId="2" applyFont="1" applyFill="1" applyBorder="1" applyAlignment="1" applyProtection="1">
      <alignment horizontal="center" vertical="center"/>
    </xf>
    <xf numFmtId="0" fontId="15" fillId="2" borderId="26" xfId="2" applyFont="1" applyFill="1" applyBorder="1" applyAlignment="1" applyProtection="1">
      <alignment horizontal="center" vertical="center"/>
      <protection locked="0"/>
    </xf>
    <xf numFmtId="0" fontId="13" fillId="3" borderId="26" xfId="2" applyFont="1" applyFill="1" applyBorder="1" applyAlignment="1" applyProtection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vmorales@senaf.gob.ar" TargetMode="External"/><Relationship Id="rId13" Type="http://schemas.openxmlformats.org/officeDocument/2006/relationships/hyperlink" Target="mailto:passu1983@yahoo.com.ar" TargetMode="External"/><Relationship Id="rId18" Type="http://schemas.openxmlformats.org/officeDocument/2006/relationships/hyperlink" Target="mailto:gracrial@yahoo.com.ar" TargetMode="External"/><Relationship Id="rId26" Type="http://schemas.openxmlformats.org/officeDocument/2006/relationships/hyperlink" Target="mailto:covi96@yahoo.com.ar" TargetMode="External"/><Relationship Id="rId39" Type="http://schemas.openxmlformats.org/officeDocument/2006/relationships/hyperlink" Target="mailto:alejogaita@hotmail.com" TargetMode="External"/><Relationship Id="rId3" Type="http://schemas.openxmlformats.org/officeDocument/2006/relationships/hyperlink" Target="mailto:sabrina82207@hotmail.com" TargetMode="External"/><Relationship Id="rId21" Type="http://schemas.openxmlformats.org/officeDocument/2006/relationships/hyperlink" Target="mailto:nataliaalegre85@yahoo.com.ar" TargetMode="External"/><Relationship Id="rId34" Type="http://schemas.openxmlformats.org/officeDocument/2006/relationships/hyperlink" Target="mailto:lauramaresca@yahoo.com.ar" TargetMode="External"/><Relationship Id="rId42" Type="http://schemas.openxmlformats.org/officeDocument/2006/relationships/hyperlink" Target="mailto:juaniiv97@gmailcom" TargetMode="External"/><Relationship Id="rId7" Type="http://schemas.openxmlformats.org/officeDocument/2006/relationships/hyperlink" Target="mailto:marielagulli@gmail.com" TargetMode="External"/><Relationship Id="rId12" Type="http://schemas.openxmlformats.org/officeDocument/2006/relationships/hyperlink" Target="mailto:caroannacondia@gmail.com" TargetMode="External"/><Relationship Id="rId17" Type="http://schemas.openxmlformats.org/officeDocument/2006/relationships/hyperlink" Target="mailto:julietafalguera@hotmail.com" TargetMode="External"/><Relationship Id="rId25" Type="http://schemas.openxmlformats.org/officeDocument/2006/relationships/hyperlink" Target="mailto:marceloviegas68@yahoo.com.ar" TargetMode="External"/><Relationship Id="rId33" Type="http://schemas.openxmlformats.org/officeDocument/2006/relationships/hyperlink" Target="mailto:se.ja.gonzalez@gmail.com" TargetMode="External"/><Relationship Id="rId38" Type="http://schemas.openxmlformats.org/officeDocument/2006/relationships/hyperlink" Target="mailto:hps2@hotmail.com" TargetMode="External"/><Relationship Id="rId2" Type="http://schemas.openxmlformats.org/officeDocument/2006/relationships/hyperlink" Target="mailto:fede_morales@hotmail.com" TargetMode="External"/><Relationship Id="rId16" Type="http://schemas.openxmlformats.org/officeDocument/2006/relationships/hyperlink" Target="mailto:marceloviegas68@yahoo.com.ar" TargetMode="External"/><Relationship Id="rId20" Type="http://schemas.openxmlformats.org/officeDocument/2006/relationships/hyperlink" Target="mailto:oterolidia@yahoo.com.ar" TargetMode="External"/><Relationship Id="rId29" Type="http://schemas.openxmlformats.org/officeDocument/2006/relationships/hyperlink" Target="mailto:mairaperezyaccuzzi@gmail.com" TargetMode="External"/><Relationship Id="rId41" Type="http://schemas.openxmlformats.org/officeDocument/2006/relationships/hyperlink" Target="mailto:natizaccaro@gmail.com" TargetMode="External"/><Relationship Id="rId1" Type="http://schemas.openxmlformats.org/officeDocument/2006/relationships/hyperlink" Target="mailto:vivianaenavarro@hotmail.com" TargetMode="External"/><Relationship Id="rId6" Type="http://schemas.openxmlformats.org/officeDocument/2006/relationships/hyperlink" Target="mailto:claudia16_36@hotmail.com" TargetMode="External"/><Relationship Id="rId11" Type="http://schemas.openxmlformats.org/officeDocument/2006/relationships/hyperlink" Target="mailto:yanina.martin@hotmail.com" TargetMode="External"/><Relationship Id="rId24" Type="http://schemas.openxmlformats.org/officeDocument/2006/relationships/hyperlink" Target="mailto:linarifederico@gmail.com" TargetMode="External"/><Relationship Id="rId32" Type="http://schemas.openxmlformats.org/officeDocument/2006/relationships/hyperlink" Target="mailto:matt_pentimalle@hotmail.com" TargetMode="External"/><Relationship Id="rId37" Type="http://schemas.openxmlformats.org/officeDocument/2006/relationships/hyperlink" Target="mailto:natalia.dte@hotmail.com" TargetMode="External"/><Relationship Id="rId40" Type="http://schemas.openxmlformats.org/officeDocument/2006/relationships/hyperlink" Target="mailto:elizabethpavluk@live.com.ar" TargetMode="External"/><Relationship Id="rId5" Type="http://schemas.openxmlformats.org/officeDocument/2006/relationships/hyperlink" Target="mailto:alicianormagori@gmail.com" TargetMode="External"/><Relationship Id="rId15" Type="http://schemas.openxmlformats.org/officeDocument/2006/relationships/hyperlink" Target="mailto:aliciabruni@hotmail.com" TargetMode="External"/><Relationship Id="rId23" Type="http://schemas.openxmlformats.org/officeDocument/2006/relationships/hyperlink" Target="mailto:linarifederico@gmail.com" TargetMode="External"/><Relationship Id="rId28" Type="http://schemas.openxmlformats.org/officeDocument/2006/relationships/hyperlink" Target="mailto:caroannacondia@gmail.com" TargetMode="External"/><Relationship Id="rId36" Type="http://schemas.openxmlformats.org/officeDocument/2006/relationships/hyperlink" Target="mailto:sabrina82207@hotmail.com" TargetMode="External"/><Relationship Id="rId10" Type="http://schemas.openxmlformats.org/officeDocument/2006/relationships/hyperlink" Target="mailto:losviegas@yahoo.com.ar" TargetMode="External"/><Relationship Id="rId19" Type="http://schemas.openxmlformats.org/officeDocument/2006/relationships/hyperlink" Target="mailto:joseluisfortuny@yahoo.com" TargetMode="External"/><Relationship Id="rId31" Type="http://schemas.openxmlformats.org/officeDocument/2006/relationships/hyperlink" Target="mailto:meli_laakd_25@hotmail.com" TargetMode="External"/><Relationship Id="rId4" Type="http://schemas.openxmlformats.org/officeDocument/2006/relationships/hyperlink" Target="mailto:marielalunati@hotmail.com" TargetMode="External"/><Relationship Id="rId9" Type="http://schemas.openxmlformats.org/officeDocument/2006/relationships/hyperlink" Target="mailto:meluchidenise@hotmail.com" TargetMode="External"/><Relationship Id="rId14" Type="http://schemas.openxmlformats.org/officeDocument/2006/relationships/hyperlink" Target="mailto:ignacio2296@live.com.ar" TargetMode="External"/><Relationship Id="rId22" Type="http://schemas.openxmlformats.org/officeDocument/2006/relationships/hyperlink" Target="mailto:natalialinari@hotmail.com.ar" TargetMode="External"/><Relationship Id="rId27" Type="http://schemas.openxmlformats.org/officeDocument/2006/relationships/hyperlink" Target="mailto:julietafalguera@hotmail.com" TargetMode="External"/><Relationship Id="rId30" Type="http://schemas.openxmlformats.org/officeDocument/2006/relationships/hyperlink" Target="mailto:sandramdq4@gmail.com" TargetMode="External"/><Relationship Id="rId35" Type="http://schemas.openxmlformats.org/officeDocument/2006/relationships/hyperlink" Target="mailto:mairaperezyaccuzzi@gmail.com" TargetMode="External"/><Relationship Id="rId43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82"/>
  <sheetViews>
    <sheetView tabSelected="1" zoomScale="98" workbookViewId="0"/>
  </sheetViews>
  <sheetFormatPr baseColWidth="10" defaultColWidth="11.44140625" defaultRowHeight="14.4" x14ac:dyDescent="0.3"/>
  <cols>
    <col min="1" max="1" width="1.33203125" style="21" customWidth="1"/>
    <col min="2" max="2" width="16.88671875" style="21" customWidth="1"/>
    <col min="3" max="3" width="11.44140625" style="21"/>
    <col min="4" max="5" width="3" style="21" bestFit="1" customWidth="1"/>
    <col min="6" max="6" width="5" style="21" bestFit="1" customWidth="1"/>
    <col min="7" max="7" width="12.44140625" style="21" bestFit="1" customWidth="1"/>
    <col min="8" max="8" width="13" style="21" bestFit="1" customWidth="1"/>
    <col min="9" max="9" width="15.33203125" style="21" bestFit="1" customWidth="1"/>
    <col min="10" max="10" width="14.6640625" style="21" customWidth="1"/>
    <col min="11" max="11" width="27.6640625" style="50" bestFit="1" customWidth="1"/>
    <col min="12" max="12" width="5.6640625" style="50" customWidth="1"/>
    <col min="13" max="13" width="23.44140625" style="50" customWidth="1"/>
    <col min="14" max="14" width="11.44140625" style="23" customWidth="1"/>
    <col min="15" max="15" width="7.109375" style="23" hidden="1" customWidth="1"/>
    <col min="16" max="16384" width="11.44140625" style="21"/>
  </cols>
  <sheetData>
    <row r="1" spans="2:15" s="22" customFormat="1" ht="7.5" customHeight="1" x14ac:dyDescent="0.3">
      <c r="B1" s="20"/>
      <c r="C1" s="20"/>
      <c r="D1" s="21"/>
      <c r="E1" s="21"/>
      <c r="F1" s="21"/>
      <c r="G1" s="21"/>
      <c r="H1" s="225"/>
      <c r="I1" s="226"/>
      <c r="J1" s="83"/>
      <c r="K1" s="21"/>
      <c r="L1" s="21"/>
      <c r="M1" s="21"/>
      <c r="O1" s="23">
        <v>2018</v>
      </c>
    </row>
    <row r="2" spans="2:15" x14ac:dyDescent="0.3">
      <c r="B2" s="24" t="s">
        <v>53</v>
      </c>
      <c r="C2" s="25"/>
      <c r="D2" s="78" t="s">
        <v>230</v>
      </c>
      <c r="E2" s="26"/>
      <c r="F2" s="26"/>
      <c r="G2" s="233" t="s">
        <v>395</v>
      </c>
      <c r="H2" s="234"/>
      <c r="I2" s="234"/>
      <c r="J2" s="234"/>
      <c r="K2" s="234"/>
      <c r="L2" s="24" t="s">
        <v>416</v>
      </c>
      <c r="M2" s="26"/>
      <c r="O2" s="23">
        <v>2018</v>
      </c>
    </row>
    <row r="3" spans="2:15" ht="7.5" customHeight="1" x14ac:dyDescent="0.3">
      <c r="B3" s="24"/>
      <c r="C3" s="25"/>
      <c r="D3" s="26"/>
      <c r="E3" s="26"/>
      <c r="F3" s="26"/>
      <c r="G3" s="26"/>
      <c r="H3" s="26"/>
      <c r="I3" s="26"/>
      <c r="J3" s="24"/>
      <c r="K3" s="26"/>
      <c r="L3" s="26"/>
      <c r="M3" s="26"/>
      <c r="O3" s="23">
        <v>2018</v>
      </c>
    </row>
    <row r="4" spans="2:15" x14ac:dyDescent="0.3">
      <c r="B4" s="24" t="s">
        <v>189</v>
      </c>
      <c r="C4" s="25"/>
      <c r="D4" s="26"/>
      <c r="E4" s="26"/>
      <c r="F4" s="26"/>
      <c r="G4" s="26"/>
      <c r="H4" s="26"/>
      <c r="I4" s="26"/>
      <c r="J4" s="24"/>
      <c r="K4" s="26"/>
      <c r="L4" s="26"/>
      <c r="M4" s="26"/>
      <c r="O4" s="23">
        <v>2018</v>
      </c>
    </row>
    <row r="5" spans="2:15" x14ac:dyDescent="0.3">
      <c r="B5" s="28" t="s">
        <v>0</v>
      </c>
      <c r="C5" s="29" t="s">
        <v>1</v>
      </c>
      <c r="D5" s="227" t="s">
        <v>2</v>
      </c>
      <c r="E5" s="227"/>
      <c r="F5" s="227"/>
      <c r="G5" s="30" t="s">
        <v>379</v>
      </c>
      <c r="H5" s="53" t="s">
        <v>7</v>
      </c>
      <c r="I5" s="53" t="s">
        <v>5</v>
      </c>
      <c r="J5" s="53" t="s">
        <v>4</v>
      </c>
      <c r="K5" s="53" t="s">
        <v>3</v>
      </c>
      <c r="L5" s="31"/>
      <c r="M5" s="32"/>
      <c r="O5" s="23">
        <v>2018</v>
      </c>
    </row>
    <row r="6" spans="2:15" s="144" customFormat="1" ht="13.5" customHeight="1" x14ac:dyDescent="0.3">
      <c r="B6" s="146" t="s">
        <v>391</v>
      </c>
      <c r="C6" s="147" t="s">
        <v>392</v>
      </c>
      <c r="D6" s="145">
        <v>17</v>
      </c>
      <c r="E6" s="145">
        <v>6</v>
      </c>
      <c r="F6" s="145">
        <v>2017</v>
      </c>
      <c r="G6" s="145">
        <f t="shared" ref="G6:G8" si="0">O6-F6</f>
        <v>1</v>
      </c>
      <c r="H6" s="145" t="s">
        <v>18</v>
      </c>
      <c r="I6" s="11" t="s">
        <v>68</v>
      </c>
      <c r="J6" s="145">
        <v>2021</v>
      </c>
      <c r="K6" s="145" t="s">
        <v>12</v>
      </c>
      <c r="L6" s="38"/>
      <c r="N6" s="23"/>
      <c r="O6" s="23">
        <v>2018</v>
      </c>
    </row>
    <row r="7" spans="2:15" x14ac:dyDescent="0.3">
      <c r="B7" s="39" t="s">
        <v>193</v>
      </c>
      <c r="C7" s="40" t="s">
        <v>260</v>
      </c>
      <c r="D7" s="198">
        <v>30</v>
      </c>
      <c r="E7" s="198">
        <v>3</v>
      </c>
      <c r="F7" s="198">
        <v>2016</v>
      </c>
      <c r="G7" s="198">
        <v>2</v>
      </c>
      <c r="H7" s="198" t="s">
        <v>11</v>
      </c>
      <c r="I7" s="198" t="s">
        <v>406</v>
      </c>
      <c r="J7" s="36">
        <v>2020</v>
      </c>
      <c r="K7" s="36" t="s">
        <v>12</v>
      </c>
      <c r="L7" s="31"/>
      <c r="M7" s="32"/>
      <c r="O7" s="23">
        <v>2018</v>
      </c>
    </row>
    <row r="8" spans="2:15" x14ac:dyDescent="0.3">
      <c r="B8" s="39" t="s">
        <v>262</v>
      </c>
      <c r="C8" s="40" t="s">
        <v>261</v>
      </c>
      <c r="D8" s="36">
        <v>21</v>
      </c>
      <c r="E8" s="36">
        <v>3</v>
      </c>
      <c r="F8" s="36">
        <v>2016</v>
      </c>
      <c r="G8" s="36">
        <f t="shared" si="0"/>
        <v>2</v>
      </c>
      <c r="H8" s="36" t="s">
        <v>18</v>
      </c>
      <c r="I8" s="11" t="s">
        <v>67</v>
      </c>
      <c r="J8" s="36">
        <v>2020</v>
      </c>
      <c r="K8" s="36" t="s">
        <v>12</v>
      </c>
      <c r="L8" s="31"/>
      <c r="M8" s="32"/>
      <c r="O8" s="23">
        <v>2018</v>
      </c>
    </row>
    <row r="9" spans="2:15" ht="13.5" customHeight="1" x14ac:dyDescent="0.3">
      <c r="B9" s="39" t="s">
        <v>51</v>
      </c>
      <c r="C9" s="40" t="s">
        <v>56</v>
      </c>
      <c r="D9" s="36">
        <v>17</v>
      </c>
      <c r="E9" s="36">
        <v>7</v>
      </c>
      <c r="F9" s="36">
        <v>2015</v>
      </c>
      <c r="G9" s="36">
        <f>O9-F9</f>
        <v>3</v>
      </c>
      <c r="H9" s="36" t="s">
        <v>18</v>
      </c>
      <c r="I9" s="36" t="s">
        <v>69</v>
      </c>
      <c r="J9" s="36">
        <v>2020</v>
      </c>
      <c r="K9" s="36" t="s">
        <v>12</v>
      </c>
      <c r="L9" s="38"/>
      <c r="M9" s="21"/>
      <c r="O9" s="23">
        <v>2018</v>
      </c>
    </row>
    <row r="10" spans="2:15" ht="13.5" customHeight="1" x14ac:dyDescent="0.3">
      <c r="B10" s="39" t="s">
        <v>47</v>
      </c>
      <c r="C10" s="40" t="s">
        <v>54</v>
      </c>
      <c r="D10" s="36">
        <v>1</v>
      </c>
      <c r="E10" s="36">
        <v>7</v>
      </c>
      <c r="F10" s="36">
        <v>2015</v>
      </c>
      <c r="G10" s="36">
        <f t="shared" ref="G10:G14" si="1">O10-F10</f>
        <v>3</v>
      </c>
      <c r="H10" s="36" t="s">
        <v>18</v>
      </c>
      <c r="I10" s="36" t="s">
        <v>55</v>
      </c>
      <c r="J10" s="36">
        <v>2020</v>
      </c>
      <c r="K10" s="36" t="s">
        <v>12</v>
      </c>
      <c r="L10" s="38"/>
      <c r="M10" s="21"/>
      <c r="O10" s="23">
        <v>2018</v>
      </c>
    </row>
    <row r="11" spans="2:15" ht="13.5" customHeight="1" x14ac:dyDescent="0.3">
      <c r="B11" s="39" t="s">
        <v>258</v>
      </c>
      <c r="C11" s="40" t="s">
        <v>101</v>
      </c>
      <c r="D11" s="36">
        <v>2</v>
      </c>
      <c r="E11" s="36">
        <v>3</v>
      </c>
      <c r="F11" s="36">
        <v>2015</v>
      </c>
      <c r="G11" s="36">
        <f>O11-F11</f>
        <v>3</v>
      </c>
      <c r="H11" s="42" t="s">
        <v>11</v>
      </c>
      <c r="I11" s="11" t="s">
        <v>255</v>
      </c>
      <c r="J11" s="36">
        <v>2019</v>
      </c>
      <c r="K11" s="36" t="s">
        <v>12</v>
      </c>
      <c r="L11" s="38"/>
      <c r="M11" s="21"/>
      <c r="O11" s="23">
        <v>2018</v>
      </c>
    </row>
    <row r="12" spans="2:15" ht="13.5" customHeight="1" x14ac:dyDescent="0.3">
      <c r="B12" s="71" t="s">
        <v>63</v>
      </c>
      <c r="C12" s="72" t="s">
        <v>59</v>
      </c>
      <c r="D12" s="37">
        <v>15</v>
      </c>
      <c r="E12" s="37">
        <v>7</v>
      </c>
      <c r="F12" s="37">
        <v>2014</v>
      </c>
      <c r="G12" s="36">
        <f t="shared" si="1"/>
        <v>4</v>
      </c>
      <c r="H12" s="36" t="s">
        <v>18</v>
      </c>
      <c r="I12" s="11" t="s">
        <v>67</v>
      </c>
      <c r="J12" s="37">
        <v>2019</v>
      </c>
      <c r="K12" s="36" t="s">
        <v>12</v>
      </c>
      <c r="L12" s="38"/>
      <c r="M12" s="21"/>
      <c r="O12" s="23">
        <v>2018</v>
      </c>
    </row>
    <row r="13" spans="2:15" ht="13.5" customHeight="1" x14ac:dyDescent="0.3">
      <c r="B13" s="68" t="s">
        <v>193</v>
      </c>
      <c r="C13" s="69" t="s">
        <v>179</v>
      </c>
      <c r="D13" s="36">
        <v>25</v>
      </c>
      <c r="E13" s="36">
        <v>8</v>
      </c>
      <c r="F13" s="36">
        <v>2014</v>
      </c>
      <c r="G13" s="36">
        <f>O75-F13</f>
        <v>4</v>
      </c>
      <c r="H13" s="42" t="s">
        <v>11</v>
      </c>
      <c r="I13" s="37" t="s">
        <v>71</v>
      </c>
      <c r="J13" s="36">
        <v>2019</v>
      </c>
      <c r="K13" s="36" t="s">
        <v>12</v>
      </c>
      <c r="L13" s="38"/>
      <c r="M13" s="21"/>
      <c r="O13" s="23">
        <v>2018</v>
      </c>
    </row>
    <row r="14" spans="2:15" ht="13.5" customHeight="1" x14ac:dyDescent="0.3">
      <c r="B14" s="71" t="s">
        <v>64</v>
      </c>
      <c r="C14" s="72" t="s">
        <v>60</v>
      </c>
      <c r="D14" s="37">
        <v>28</v>
      </c>
      <c r="E14" s="37">
        <v>8</v>
      </c>
      <c r="F14" s="37">
        <v>2014</v>
      </c>
      <c r="G14" s="36">
        <f t="shared" si="1"/>
        <v>4</v>
      </c>
      <c r="H14" s="36" t="s">
        <v>18</v>
      </c>
      <c r="I14" s="11" t="s">
        <v>68</v>
      </c>
      <c r="J14" s="37">
        <v>2019</v>
      </c>
      <c r="K14" s="36" t="s">
        <v>12</v>
      </c>
      <c r="L14" s="38"/>
      <c r="M14" s="21"/>
      <c r="O14" s="23">
        <v>2018</v>
      </c>
    </row>
    <row r="15" spans="2:15" x14ac:dyDescent="0.3">
      <c r="O15" s="23">
        <v>2018</v>
      </c>
    </row>
    <row r="16" spans="2:15" ht="8.25" customHeight="1" x14ac:dyDescent="0.3">
      <c r="O16" s="23">
        <v>2018</v>
      </c>
    </row>
    <row r="17" spans="2:15" x14ac:dyDescent="0.3">
      <c r="B17" s="24" t="s">
        <v>378</v>
      </c>
      <c r="C17" s="26"/>
      <c r="D17" s="26"/>
      <c r="E17" s="26"/>
      <c r="F17" s="26"/>
      <c r="G17" s="26"/>
      <c r="H17" s="26"/>
      <c r="I17" s="26"/>
      <c r="J17" s="32"/>
      <c r="K17" s="26"/>
      <c r="L17" s="26"/>
      <c r="M17" s="26"/>
      <c r="O17" s="23">
        <v>2018</v>
      </c>
    </row>
    <row r="18" spans="2:15" x14ac:dyDescent="0.3">
      <c r="B18" s="28" t="s">
        <v>0</v>
      </c>
      <c r="C18" s="29" t="s">
        <v>1</v>
      </c>
      <c r="D18" s="227" t="s">
        <v>2</v>
      </c>
      <c r="E18" s="227"/>
      <c r="F18" s="227"/>
      <c r="G18" s="30" t="s">
        <v>379</v>
      </c>
      <c r="H18" s="53" t="s">
        <v>7</v>
      </c>
      <c r="I18" s="53" t="s">
        <v>5</v>
      </c>
      <c r="J18" s="53" t="s">
        <v>4</v>
      </c>
      <c r="K18" s="53" t="s">
        <v>3</v>
      </c>
      <c r="L18" s="53" t="s">
        <v>174</v>
      </c>
      <c r="M18" s="53" t="s">
        <v>172</v>
      </c>
      <c r="O18" s="23">
        <v>2018</v>
      </c>
    </row>
    <row r="19" spans="2:15" s="144" customFormat="1" ht="12.75" customHeight="1" x14ac:dyDescent="0.3">
      <c r="B19" s="71" t="s">
        <v>65</v>
      </c>
      <c r="C19" s="72" t="s">
        <v>61</v>
      </c>
      <c r="D19" s="37">
        <v>9</v>
      </c>
      <c r="E19" s="37">
        <v>4</v>
      </c>
      <c r="F19" s="37">
        <v>2014</v>
      </c>
      <c r="G19" s="145">
        <f>O19-F19</f>
        <v>4</v>
      </c>
      <c r="H19" s="145" t="s">
        <v>18</v>
      </c>
      <c r="I19" s="11" t="s">
        <v>255</v>
      </c>
      <c r="J19" s="37">
        <v>2018</v>
      </c>
      <c r="K19" s="145" t="s">
        <v>12</v>
      </c>
      <c r="L19" s="235">
        <v>3</v>
      </c>
      <c r="M19" s="231" t="s">
        <v>421</v>
      </c>
      <c r="N19" s="165"/>
      <c r="O19" s="23">
        <v>2018</v>
      </c>
    </row>
    <row r="20" spans="2:15" s="144" customFormat="1" ht="12.75" customHeight="1" x14ac:dyDescent="0.3">
      <c r="B20" s="146" t="s">
        <v>258</v>
      </c>
      <c r="C20" s="147" t="s">
        <v>259</v>
      </c>
      <c r="D20" s="145">
        <v>15</v>
      </c>
      <c r="E20" s="145">
        <v>9</v>
      </c>
      <c r="F20" s="145">
        <v>2013</v>
      </c>
      <c r="G20" s="145">
        <f t="shared" ref="G20:G23" si="2">O20-F20</f>
        <v>5</v>
      </c>
      <c r="H20" s="42" t="s">
        <v>11</v>
      </c>
      <c r="I20" s="11" t="s">
        <v>255</v>
      </c>
      <c r="J20" s="145">
        <v>2018</v>
      </c>
      <c r="K20" s="145" t="s">
        <v>12</v>
      </c>
      <c r="L20" s="236"/>
      <c r="M20" s="232"/>
      <c r="N20" s="165"/>
      <c r="O20" s="23">
        <v>2018</v>
      </c>
    </row>
    <row r="21" spans="2:15" s="144" customFormat="1" ht="12.75" customHeight="1" x14ac:dyDescent="0.3">
      <c r="B21" s="71" t="s">
        <v>74</v>
      </c>
      <c r="C21" s="72" t="s">
        <v>254</v>
      </c>
      <c r="D21" s="207">
        <v>28</v>
      </c>
      <c r="E21" s="207">
        <v>12</v>
      </c>
      <c r="F21" s="207">
        <v>2013</v>
      </c>
      <c r="G21" s="145">
        <f t="shared" ref="G21" si="3">O21-F21</f>
        <v>5</v>
      </c>
      <c r="H21" s="145" t="s">
        <v>18</v>
      </c>
      <c r="I21" s="11" t="s">
        <v>403</v>
      </c>
      <c r="J21" s="37">
        <v>2018</v>
      </c>
      <c r="K21" s="145" t="s">
        <v>12</v>
      </c>
      <c r="L21" s="237"/>
      <c r="M21" s="232"/>
      <c r="N21" s="23"/>
      <c r="O21" s="23">
        <v>2018</v>
      </c>
    </row>
    <row r="22" spans="2:15" s="144" customFormat="1" ht="12.75" customHeight="1" x14ac:dyDescent="0.3">
      <c r="B22" s="146" t="s">
        <v>257</v>
      </c>
      <c r="C22" s="147" t="s">
        <v>142</v>
      </c>
      <c r="D22" s="198">
        <v>1</v>
      </c>
      <c r="E22" s="198">
        <v>9</v>
      </c>
      <c r="F22" s="198">
        <v>2012</v>
      </c>
      <c r="G22" s="145">
        <f t="shared" si="2"/>
        <v>6</v>
      </c>
      <c r="H22" s="198" t="s">
        <v>411</v>
      </c>
      <c r="I22" s="224" t="s">
        <v>256</v>
      </c>
      <c r="J22" s="37">
        <v>2018</v>
      </c>
      <c r="K22" s="143" t="s">
        <v>22</v>
      </c>
      <c r="L22" s="228">
        <v>3</v>
      </c>
      <c r="M22" s="232"/>
      <c r="N22" s="23"/>
      <c r="O22" s="23">
        <v>2018</v>
      </c>
    </row>
    <row r="23" spans="2:15" ht="12.75" customHeight="1" x14ac:dyDescent="0.3">
      <c r="B23" s="71" t="s">
        <v>66</v>
      </c>
      <c r="C23" s="72" t="s">
        <v>62</v>
      </c>
      <c r="D23" s="37">
        <v>12</v>
      </c>
      <c r="E23" s="37">
        <v>12</v>
      </c>
      <c r="F23" s="37">
        <v>2012</v>
      </c>
      <c r="G23" s="145">
        <f t="shared" si="2"/>
        <v>6</v>
      </c>
      <c r="H23" s="36" t="s">
        <v>18</v>
      </c>
      <c r="I23" s="11" t="s">
        <v>69</v>
      </c>
      <c r="J23" s="145">
        <v>2018</v>
      </c>
      <c r="K23" s="143" t="s">
        <v>22</v>
      </c>
      <c r="L23" s="229"/>
      <c r="M23" s="232"/>
      <c r="O23" s="23">
        <v>2018</v>
      </c>
    </row>
    <row r="24" spans="2:15" ht="12.75" customHeight="1" x14ac:dyDescent="0.3">
      <c r="B24" s="71" t="s">
        <v>47</v>
      </c>
      <c r="C24" s="72" t="s">
        <v>152</v>
      </c>
      <c r="D24" s="37">
        <v>18</v>
      </c>
      <c r="E24" s="37">
        <v>12</v>
      </c>
      <c r="F24" s="37">
        <v>2012</v>
      </c>
      <c r="G24" s="36">
        <f t="shared" ref="G24:G44" si="4">O24-F24</f>
        <v>6</v>
      </c>
      <c r="H24" s="36" t="s">
        <v>18</v>
      </c>
      <c r="I24" s="11" t="s">
        <v>68</v>
      </c>
      <c r="J24" s="145">
        <v>2018</v>
      </c>
      <c r="K24" s="143" t="s">
        <v>22</v>
      </c>
      <c r="L24" s="230"/>
      <c r="M24" s="232"/>
      <c r="O24" s="23">
        <v>2018</v>
      </c>
    </row>
    <row r="25" spans="2:15" ht="12.9" customHeight="1" x14ac:dyDescent="0.3">
      <c r="B25" s="39" t="s">
        <v>47</v>
      </c>
      <c r="C25" s="40" t="s">
        <v>48</v>
      </c>
      <c r="D25" s="36">
        <v>7</v>
      </c>
      <c r="E25" s="36">
        <v>2</v>
      </c>
      <c r="F25" s="36">
        <v>2012</v>
      </c>
      <c r="G25" s="145">
        <f t="shared" si="4"/>
        <v>6</v>
      </c>
      <c r="H25" s="36" t="s">
        <v>18</v>
      </c>
      <c r="I25" s="11" t="s">
        <v>55</v>
      </c>
      <c r="J25" s="145">
        <v>2018</v>
      </c>
      <c r="K25" s="143" t="s">
        <v>24</v>
      </c>
      <c r="L25" s="240">
        <v>5</v>
      </c>
      <c r="M25" s="238" t="s">
        <v>410</v>
      </c>
      <c r="O25" s="23">
        <v>2018</v>
      </c>
    </row>
    <row r="26" spans="2:15" ht="12.9" customHeight="1" x14ac:dyDescent="0.3">
      <c r="B26" s="39" t="s">
        <v>49</v>
      </c>
      <c r="C26" s="40" t="s">
        <v>50</v>
      </c>
      <c r="D26" s="36">
        <v>6</v>
      </c>
      <c r="E26" s="36">
        <v>4</v>
      </c>
      <c r="F26" s="36">
        <v>2012</v>
      </c>
      <c r="G26" s="145">
        <f t="shared" si="4"/>
        <v>6</v>
      </c>
      <c r="H26" s="36" t="s">
        <v>18</v>
      </c>
      <c r="I26" s="11" t="s">
        <v>70</v>
      </c>
      <c r="J26" s="145">
        <v>2018</v>
      </c>
      <c r="K26" s="143" t="s">
        <v>24</v>
      </c>
      <c r="L26" s="240"/>
      <c r="M26" s="232"/>
      <c r="O26" s="23">
        <v>2018</v>
      </c>
    </row>
    <row r="27" spans="2:15" ht="12.9" customHeight="1" x14ac:dyDescent="0.3">
      <c r="B27" s="39" t="s">
        <v>51</v>
      </c>
      <c r="C27" s="40" t="s">
        <v>52</v>
      </c>
      <c r="D27" s="36">
        <v>20</v>
      </c>
      <c r="E27" s="36">
        <v>4</v>
      </c>
      <c r="F27" s="36">
        <v>2012</v>
      </c>
      <c r="G27" s="145">
        <f t="shared" si="4"/>
        <v>6</v>
      </c>
      <c r="H27" s="36" t="s">
        <v>18</v>
      </c>
      <c r="I27" s="11" t="s">
        <v>256</v>
      </c>
      <c r="J27" s="145">
        <v>2018</v>
      </c>
      <c r="K27" s="143" t="s">
        <v>24</v>
      </c>
      <c r="L27" s="240"/>
      <c r="M27" s="232"/>
      <c r="O27" s="23">
        <v>2018</v>
      </c>
    </row>
    <row r="28" spans="2:15" ht="12.9" customHeight="1" x14ac:dyDescent="0.3">
      <c r="B28" s="39" t="s">
        <v>200</v>
      </c>
      <c r="C28" s="40" t="s">
        <v>201</v>
      </c>
      <c r="D28" s="36">
        <v>19</v>
      </c>
      <c r="E28" s="36">
        <v>5</v>
      </c>
      <c r="F28" s="36">
        <v>2012</v>
      </c>
      <c r="G28" s="145">
        <f t="shared" si="4"/>
        <v>6</v>
      </c>
      <c r="H28" s="36" t="s">
        <v>18</v>
      </c>
      <c r="I28" s="11" t="s">
        <v>68</v>
      </c>
      <c r="J28" s="145">
        <v>2018</v>
      </c>
      <c r="K28" s="143" t="s">
        <v>24</v>
      </c>
      <c r="L28" s="240"/>
      <c r="M28" s="232"/>
      <c r="O28" s="23">
        <v>2018</v>
      </c>
    </row>
    <row r="29" spans="2:15" ht="12.9" customHeight="1" x14ac:dyDescent="0.3">
      <c r="B29" s="39" t="s">
        <v>45</v>
      </c>
      <c r="C29" s="40" t="s">
        <v>46</v>
      </c>
      <c r="D29" s="36">
        <v>11</v>
      </c>
      <c r="E29" s="36">
        <v>8</v>
      </c>
      <c r="F29" s="36">
        <v>2011</v>
      </c>
      <c r="G29" s="145">
        <f t="shared" si="4"/>
        <v>7</v>
      </c>
      <c r="H29" s="36" t="s">
        <v>18</v>
      </c>
      <c r="I29" s="11" t="s">
        <v>67</v>
      </c>
      <c r="J29" s="145">
        <v>2018</v>
      </c>
      <c r="K29" s="143" t="s">
        <v>24</v>
      </c>
      <c r="L29" s="241"/>
      <c r="M29" s="232"/>
      <c r="O29" s="23">
        <v>2018</v>
      </c>
    </row>
    <row r="30" spans="2:15" ht="12.9" customHeight="1" x14ac:dyDescent="0.3">
      <c r="B30" s="74" t="s">
        <v>63</v>
      </c>
      <c r="C30" s="34" t="s">
        <v>72</v>
      </c>
      <c r="D30" s="37">
        <v>26</v>
      </c>
      <c r="E30" s="37">
        <v>1</v>
      </c>
      <c r="F30" s="37">
        <v>2011</v>
      </c>
      <c r="G30" s="145">
        <f t="shared" si="4"/>
        <v>7</v>
      </c>
      <c r="H30" s="36" t="s">
        <v>18</v>
      </c>
      <c r="I30" s="11" t="s">
        <v>67</v>
      </c>
      <c r="J30" s="145">
        <v>2018</v>
      </c>
      <c r="K30" s="6" t="s">
        <v>25</v>
      </c>
      <c r="L30" s="240">
        <v>2</v>
      </c>
      <c r="M30" s="232"/>
      <c r="O30" s="23">
        <v>2018</v>
      </c>
    </row>
    <row r="31" spans="2:15" ht="12.9" customHeight="1" x14ac:dyDescent="0.3">
      <c r="B31" s="74" t="s">
        <v>64</v>
      </c>
      <c r="C31" s="34" t="s">
        <v>80</v>
      </c>
      <c r="D31" s="37">
        <v>23</v>
      </c>
      <c r="E31" s="37">
        <v>11</v>
      </c>
      <c r="F31" s="37">
        <v>2010</v>
      </c>
      <c r="G31" s="145">
        <f t="shared" si="4"/>
        <v>8</v>
      </c>
      <c r="H31" s="36" t="s">
        <v>18</v>
      </c>
      <c r="I31" s="11" t="s">
        <v>68</v>
      </c>
      <c r="J31" s="145">
        <v>2018</v>
      </c>
      <c r="K31" s="143" t="s">
        <v>25</v>
      </c>
      <c r="L31" s="241"/>
      <c r="M31" s="232"/>
      <c r="O31" s="23">
        <v>2018</v>
      </c>
    </row>
    <row r="32" spans="2:15" ht="12.9" customHeight="1" x14ac:dyDescent="0.3">
      <c r="B32" s="74" t="s">
        <v>73</v>
      </c>
      <c r="C32" s="34" t="s">
        <v>83</v>
      </c>
      <c r="D32" s="37">
        <v>21</v>
      </c>
      <c r="E32" s="37">
        <v>4</v>
      </c>
      <c r="F32" s="37">
        <v>2009</v>
      </c>
      <c r="G32" s="145">
        <f t="shared" si="4"/>
        <v>9</v>
      </c>
      <c r="H32" s="36" t="s">
        <v>18</v>
      </c>
      <c r="I32" s="11" t="s">
        <v>67</v>
      </c>
      <c r="J32" s="145">
        <v>2018</v>
      </c>
      <c r="K32" s="143" t="s">
        <v>27</v>
      </c>
      <c r="L32" s="242">
        <v>3</v>
      </c>
      <c r="M32" s="232"/>
      <c r="O32" s="23">
        <v>2018</v>
      </c>
    </row>
    <row r="33" spans="2:16" ht="12.9" customHeight="1" x14ac:dyDescent="0.3">
      <c r="B33" s="14" t="s">
        <v>65</v>
      </c>
      <c r="C33" s="75" t="s">
        <v>81</v>
      </c>
      <c r="D33" s="11">
        <v>1</v>
      </c>
      <c r="E33" s="11">
        <v>7</v>
      </c>
      <c r="F33" s="11">
        <v>2008</v>
      </c>
      <c r="G33" s="145">
        <f t="shared" si="4"/>
        <v>10</v>
      </c>
      <c r="H33" s="36" t="s">
        <v>18</v>
      </c>
      <c r="I33" s="11" t="s">
        <v>255</v>
      </c>
      <c r="J33" s="145">
        <v>2018</v>
      </c>
      <c r="K33" s="143" t="s">
        <v>27</v>
      </c>
      <c r="L33" s="243"/>
      <c r="M33" s="232"/>
      <c r="O33" s="23">
        <v>2018</v>
      </c>
    </row>
    <row r="34" spans="2:16" ht="12.9" customHeight="1" x14ac:dyDescent="0.3">
      <c r="B34" s="14" t="s">
        <v>66</v>
      </c>
      <c r="C34" s="75" t="s">
        <v>82</v>
      </c>
      <c r="D34" s="11">
        <v>22</v>
      </c>
      <c r="E34" s="11">
        <v>12</v>
      </c>
      <c r="F34" s="11">
        <v>2008</v>
      </c>
      <c r="G34" s="145">
        <f t="shared" si="4"/>
        <v>10</v>
      </c>
      <c r="H34" s="36" t="s">
        <v>18</v>
      </c>
      <c r="I34" s="11" t="s">
        <v>255</v>
      </c>
      <c r="J34" s="145">
        <v>2018</v>
      </c>
      <c r="K34" s="143" t="s">
        <v>27</v>
      </c>
      <c r="L34" s="244"/>
      <c r="M34" s="232"/>
      <c r="O34" s="23">
        <v>2018</v>
      </c>
    </row>
    <row r="35" spans="2:16" ht="12.9" customHeight="1" x14ac:dyDescent="0.3">
      <c r="B35" s="14" t="s">
        <v>45</v>
      </c>
      <c r="C35" s="75" t="s">
        <v>85</v>
      </c>
      <c r="D35" s="11">
        <v>29</v>
      </c>
      <c r="E35" s="11">
        <v>6</v>
      </c>
      <c r="F35" s="11">
        <v>2008</v>
      </c>
      <c r="G35" s="145">
        <f t="shared" si="4"/>
        <v>10</v>
      </c>
      <c r="H35" s="36" t="s">
        <v>18</v>
      </c>
      <c r="I35" s="11" t="s">
        <v>255</v>
      </c>
      <c r="J35" s="145">
        <v>2018</v>
      </c>
      <c r="K35" s="143" t="s">
        <v>28</v>
      </c>
      <c r="L35" s="6">
        <v>1</v>
      </c>
      <c r="M35" s="166" t="s">
        <v>376</v>
      </c>
      <c r="O35" s="23">
        <v>2018</v>
      </c>
    </row>
    <row r="36" spans="2:16" ht="12.9" customHeight="1" x14ac:dyDescent="0.3">
      <c r="B36" s="14" t="s">
        <v>64</v>
      </c>
      <c r="C36" s="75" t="s">
        <v>61</v>
      </c>
      <c r="D36" s="11">
        <v>12</v>
      </c>
      <c r="E36" s="11">
        <v>10</v>
      </c>
      <c r="F36" s="11">
        <v>2006</v>
      </c>
      <c r="G36" s="145">
        <f t="shared" si="4"/>
        <v>12</v>
      </c>
      <c r="H36" s="36" t="s">
        <v>18</v>
      </c>
      <c r="I36" s="11" t="s">
        <v>68</v>
      </c>
      <c r="J36" s="145">
        <v>2018</v>
      </c>
      <c r="K36" s="143" t="s">
        <v>29</v>
      </c>
      <c r="L36" s="195">
        <v>1</v>
      </c>
      <c r="M36" s="194" t="s">
        <v>408</v>
      </c>
      <c r="O36" s="23">
        <v>2018</v>
      </c>
      <c r="P36" s="148"/>
    </row>
    <row r="37" spans="2:16" ht="12.9" customHeight="1" x14ac:dyDescent="0.3">
      <c r="B37" s="14" t="s">
        <v>75</v>
      </c>
      <c r="C37" s="75" t="s">
        <v>87</v>
      </c>
      <c r="D37" s="11">
        <v>18</v>
      </c>
      <c r="E37" s="11">
        <v>11</v>
      </c>
      <c r="F37" s="11">
        <v>2005</v>
      </c>
      <c r="G37" s="145">
        <f t="shared" si="4"/>
        <v>13</v>
      </c>
      <c r="H37" s="36" t="s">
        <v>18</v>
      </c>
      <c r="I37" s="11" t="s">
        <v>69</v>
      </c>
      <c r="J37" s="145">
        <v>2018</v>
      </c>
      <c r="K37" s="143" t="s">
        <v>31</v>
      </c>
      <c r="L37" s="242">
        <v>4</v>
      </c>
      <c r="M37" s="239" t="s">
        <v>423</v>
      </c>
      <c r="O37" s="23">
        <v>2018</v>
      </c>
      <c r="P37" s="148"/>
    </row>
    <row r="38" spans="2:16" ht="12.9" customHeight="1" x14ac:dyDescent="0.3">
      <c r="B38" s="74" t="s">
        <v>74</v>
      </c>
      <c r="C38" s="34" t="s">
        <v>86</v>
      </c>
      <c r="D38" s="37">
        <v>17</v>
      </c>
      <c r="E38" s="37">
        <v>3</v>
      </c>
      <c r="F38" s="37">
        <v>2006</v>
      </c>
      <c r="G38" s="145">
        <f t="shared" si="4"/>
        <v>12</v>
      </c>
      <c r="H38" s="36" t="s">
        <v>18</v>
      </c>
      <c r="I38" s="105" t="s">
        <v>255</v>
      </c>
      <c r="J38" s="145">
        <v>2018</v>
      </c>
      <c r="K38" s="143" t="s">
        <v>31</v>
      </c>
      <c r="L38" s="240"/>
      <c r="M38" s="239"/>
      <c r="O38" s="23">
        <v>2018</v>
      </c>
      <c r="P38" s="148"/>
    </row>
    <row r="39" spans="2:16" s="144" customFormat="1" ht="12.9" customHeight="1" x14ac:dyDescent="0.3">
      <c r="B39" s="74" t="s">
        <v>47</v>
      </c>
      <c r="C39" s="34" t="s">
        <v>137</v>
      </c>
      <c r="D39" s="37">
        <v>17</v>
      </c>
      <c r="E39" s="37">
        <v>3</v>
      </c>
      <c r="F39" s="37">
        <v>2006</v>
      </c>
      <c r="G39" s="145">
        <f t="shared" si="4"/>
        <v>12</v>
      </c>
      <c r="H39" s="145" t="s">
        <v>18</v>
      </c>
      <c r="I39" s="105" t="s">
        <v>68</v>
      </c>
      <c r="J39" s="145">
        <v>2018</v>
      </c>
      <c r="K39" s="143" t="s">
        <v>31</v>
      </c>
      <c r="L39" s="240"/>
      <c r="M39" s="239"/>
      <c r="N39" s="23"/>
      <c r="O39" s="23">
        <v>2018</v>
      </c>
      <c r="P39" s="148"/>
    </row>
    <row r="40" spans="2:16" ht="12.9" customHeight="1" x14ac:dyDescent="0.3">
      <c r="B40" s="14" t="s">
        <v>257</v>
      </c>
      <c r="C40" s="75" t="s">
        <v>89</v>
      </c>
      <c r="D40" s="198">
        <v>30</v>
      </c>
      <c r="E40" s="198">
        <v>11</v>
      </c>
      <c r="F40" s="198">
        <v>2005</v>
      </c>
      <c r="G40" s="145">
        <f t="shared" si="4"/>
        <v>13</v>
      </c>
      <c r="H40" s="198" t="s">
        <v>411</v>
      </c>
      <c r="I40" s="198" t="s">
        <v>407</v>
      </c>
      <c r="J40" s="145">
        <v>2018</v>
      </c>
      <c r="K40" s="143" t="s">
        <v>31</v>
      </c>
      <c r="L40" s="241"/>
      <c r="M40" s="239"/>
      <c r="O40" s="23">
        <v>2018</v>
      </c>
      <c r="P40" s="148"/>
    </row>
    <row r="41" spans="2:16" ht="12.9" customHeight="1" x14ac:dyDescent="0.3">
      <c r="B41" s="14" t="s">
        <v>77</v>
      </c>
      <c r="C41" s="75" t="s">
        <v>76</v>
      </c>
      <c r="D41" s="11">
        <v>27</v>
      </c>
      <c r="E41" s="11">
        <v>2</v>
      </c>
      <c r="F41" s="11">
        <v>2005</v>
      </c>
      <c r="G41" s="145">
        <f t="shared" si="4"/>
        <v>13</v>
      </c>
      <c r="H41" s="36" t="s">
        <v>18</v>
      </c>
      <c r="I41" s="11" t="s">
        <v>69</v>
      </c>
      <c r="J41" s="145">
        <v>2018</v>
      </c>
      <c r="K41" s="143" t="s">
        <v>169</v>
      </c>
      <c r="L41" s="242">
        <v>4</v>
      </c>
      <c r="M41" s="239" t="s">
        <v>422</v>
      </c>
      <c r="O41" s="23">
        <v>2018</v>
      </c>
      <c r="P41" s="148"/>
    </row>
    <row r="42" spans="2:16" ht="12.9" customHeight="1" x14ac:dyDescent="0.3">
      <c r="B42" s="14" t="s">
        <v>45</v>
      </c>
      <c r="C42" s="75" t="s">
        <v>17</v>
      </c>
      <c r="D42" s="11">
        <v>14</v>
      </c>
      <c r="E42" s="11">
        <v>10</v>
      </c>
      <c r="F42" s="11">
        <v>2004</v>
      </c>
      <c r="G42" s="145">
        <f t="shared" si="4"/>
        <v>14</v>
      </c>
      <c r="H42" s="36" t="s">
        <v>18</v>
      </c>
      <c r="I42" s="11" t="s">
        <v>67</v>
      </c>
      <c r="J42" s="145">
        <v>2018</v>
      </c>
      <c r="K42" s="143" t="s">
        <v>169</v>
      </c>
      <c r="L42" s="240"/>
      <c r="M42" s="239"/>
      <c r="O42" s="23">
        <v>2018</v>
      </c>
      <c r="P42" s="148"/>
    </row>
    <row r="43" spans="2:16" ht="12.9" customHeight="1" x14ac:dyDescent="0.3">
      <c r="B43" s="14" t="s">
        <v>78</v>
      </c>
      <c r="C43" s="75" t="s">
        <v>88</v>
      </c>
      <c r="D43" s="11">
        <v>4</v>
      </c>
      <c r="E43" s="11">
        <v>11</v>
      </c>
      <c r="F43" s="11">
        <v>2004</v>
      </c>
      <c r="G43" s="145">
        <f t="shared" si="4"/>
        <v>14</v>
      </c>
      <c r="H43" s="36" t="s">
        <v>18</v>
      </c>
      <c r="I43" s="105" t="s">
        <v>409</v>
      </c>
      <c r="J43" s="145">
        <v>2018</v>
      </c>
      <c r="K43" s="143" t="s">
        <v>169</v>
      </c>
      <c r="L43" s="240"/>
      <c r="M43" s="239"/>
      <c r="O43" s="23">
        <v>2018</v>
      </c>
      <c r="P43" s="148"/>
    </row>
    <row r="44" spans="2:16" ht="12.9" customHeight="1" x14ac:dyDescent="0.3">
      <c r="B44" s="14" t="s">
        <v>78</v>
      </c>
      <c r="C44" s="75" t="s">
        <v>37</v>
      </c>
      <c r="D44" s="11">
        <v>4</v>
      </c>
      <c r="E44" s="11">
        <v>11</v>
      </c>
      <c r="F44" s="11">
        <v>2004</v>
      </c>
      <c r="G44" s="145">
        <f t="shared" si="4"/>
        <v>14</v>
      </c>
      <c r="H44" s="36" t="s">
        <v>18</v>
      </c>
      <c r="I44" s="105" t="s">
        <v>409</v>
      </c>
      <c r="J44" s="145">
        <v>2018</v>
      </c>
      <c r="K44" s="143" t="s">
        <v>169</v>
      </c>
      <c r="L44" s="241"/>
      <c r="M44" s="239"/>
      <c r="O44" s="23">
        <v>2018</v>
      </c>
      <c r="P44" s="148"/>
    </row>
    <row r="45" spans="2:16" x14ac:dyDescent="0.3">
      <c r="O45" s="23">
        <v>2018</v>
      </c>
    </row>
    <row r="46" spans="2:16" x14ac:dyDescent="0.3">
      <c r="M46" s="50" t="s">
        <v>192</v>
      </c>
      <c r="O46" s="23">
        <v>2018</v>
      </c>
    </row>
    <row r="47" spans="2:16" s="144" customFormat="1" x14ac:dyDescent="0.3">
      <c r="K47" s="50"/>
      <c r="L47" s="50"/>
      <c r="M47" s="50"/>
      <c r="N47" s="23"/>
      <c r="O47" s="23">
        <v>2018</v>
      </c>
    </row>
    <row r="48" spans="2:16" s="144" customFormat="1" x14ac:dyDescent="0.3">
      <c r="K48" s="50"/>
      <c r="L48" s="50"/>
      <c r="M48" s="50"/>
      <c r="N48" s="23"/>
      <c r="O48" s="23"/>
    </row>
    <row r="49" spans="2:15" s="144" customFormat="1" x14ac:dyDescent="0.3">
      <c r="K49" s="50"/>
      <c r="L49" s="50"/>
      <c r="M49" s="50"/>
      <c r="N49" s="23"/>
      <c r="O49" s="23"/>
    </row>
    <row r="50" spans="2:15" s="144" customFormat="1" x14ac:dyDescent="0.3">
      <c r="K50" s="50"/>
      <c r="L50" s="50"/>
      <c r="M50" s="50"/>
      <c r="N50" s="23"/>
      <c r="O50" s="23"/>
    </row>
    <row r="51" spans="2:15" x14ac:dyDescent="0.3">
      <c r="B51" s="24" t="s">
        <v>377</v>
      </c>
      <c r="C51" s="20"/>
      <c r="K51" s="21"/>
      <c r="L51" s="21"/>
      <c r="M51" s="21" t="s">
        <v>192</v>
      </c>
      <c r="O51" s="23">
        <v>2018</v>
      </c>
    </row>
    <row r="52" spans="2:15" x14ac:dyDescent="0.3">
      <c r="B52" s="28" t="s">
        <v>0</v>
      </c>
      <c r="C52" s="29" t="s">
        <v>1</v>
      </c>
      <c r="D52" s="227" t="s">
        <v>2</v>
      </c>
      <c r="E52" s="227"/>
      <c r="F52" s="227"/>
      <c r="G52" s="30" t="s">
        <v>379</v>
      </c>
      <c r="H52" s="53" t="s">
        <v>7</v>
      </c>
      <c r="I52" s="53" t="s">
        <v>5</v>
      </c>
      <c r="J52" s="53" t="s">
        <v>4</v>
      </c>
      <c r="K52" s="53" t="s">
        <v>3</v>
      </c>
      <c r="L52" s="31"/>
      <c r="M52" s="21" t="s">
        <v>192</v>
      </c>
      <c r="O52" s="23">
        <v>2018</v>
      </c>
    </row>
    <row r="53" spans="2:15" x14ac:dyDescent="0.3">
      <c r="B53" s="71" t="s">
        <v>91</v>
      </c>
      <c r="C53" s="72"/>
      <c r="D53" s="37">
        <v>2</v>
      </c>
      <c r="E53" s="37">
        <v>6</v>
      </c>
      <c r="F53" s="37">
        <v>2013</v>
      </c>
      <c r="G53" s="145">
        <f t="shared" ref="G53:G71" si="5">O53-F53</f>
        <v>5</v>
      </c>
      <c r="H53" s="36" t="s">
        <v>11</v>
      </c>
      <c r="I53" s="149" t="s">
        <v>192</v>
      </c>
      <c r="J53" s="145">
        <v>2018</v>
      </c>
      <c r="K53" s="143" t="s">
        <v>22</v>
      </c>
      <c r="L53" s="31"/>
      <c r="M53" s="21"/>
      <c r="O53" s="23">
        <v>2018</v>
      </c>
    </row>
    <row r="54" spans="2:15" x14ac:dyDescent="0.3">
      <c r="B54" s="71" t="s">
        <v>92</v>
      </c>
      <c r="C54" s="72"/>
      <c r="D54" s="37">
        <v>15</v>
      </c>
      <c r="E54" s="37">
        <v>3</v>
      </c>
      <c r="F54" s="37">
        <v>2013</v>
      </c>
      <c r="G54" s="36">
        <f t="shared" si="5"/>
        <v>5</v>
      </c>
      <c r="H54" s="36" t="s">
        <v>11</v>
      </c>
      <c r="I54" s="149" t="s">
        <v>192</v>
      </c>
      <c r="J54" s="145">
        <v>2018</v>
      </c>
      <c r="K54" s="143" t="s">
        <v>22</v>
      </c>
      <c r="L54" s="31"/>
      <c r="M54" s="21"/>
      <c r="O54" s="23">
        <v>2018</v>
      </c>
    </row>
    <row r="55" spans="2:15" x14ac:dyDescent="0.3">
      <c r="B55" s="71" t="s">
        <v>90</v>
      </c>
      <c r="C55" s="72" t="s">
        <v>80</v>
      </c>
      <c r="D55" s="37">
        <v>26</v>
      </c>
      <c r="E55" s="37">
        <v>7</v>
      </c>
      <c r="F55" s="37">
        <v>2012</v>
      </c>
      <c r="G55" s="36">
        <f t="shared" si="5"/>
        <v>6</v>
      </c>
      <c r="H55" s="36" t="s">
        <v>11</v>
      </c>
      <c r="I55" s="73" t="s">
        <v>70</v>
      </c>
      <c r="J55" s="145">
        <v>2018</v>
      </c>
      <c r="K55" s="143" t="s">
        <v>22</v>
      </c>
      <c r="L55" s="31"/>
      <c r="M55" s="21"/>
      <c r="O55" s="23">
        <v>2018</v>
      </c>
    </row>
    <row r="56" spans="2:15" x14ac:dyDescent="0.3">
      <c r="B56" s="71" t="s">
        <v>77</v>
      </c>
      <c r="C56" s="72" t="s">
        <v>93</v>
      </c>
      <c r="D56" s="37">
        <v>23</v>
      </c>
      <c r="E56" s="37">
        <v>12</v>
      </c>
      <c r="F56" s="37">
        <v>2011</v>
      </c>
      <c r="G56" s="36">
        <f t="shared" si="5"/>
        <v>7</v>
      </c>
      <c r="H56" s="36" t="s">
        <v>11</v>
      </c>
      <c r="I56" s="73" t="s">
        <v>69</v>
      </c>
      <c r="J56" s="145">
        <v>2018</v>
      </c>
      <c r="K56" s="145" t="s">
        <v>58</v>
      </c>
      <c r="L56" s="2"/>
      <c r="M56" s="2"/>
      <c r="O56" s="23">
        <v>2018</v>
      </c>
    </row>
    <row r="57" spans="2:15" x14ac:dyDescent="0.3">
      <c r="B57" s="71" t="s">
        <v>94</v>
      </c>
      <c r="C57" s="72"/>
      <c r="D57" s="37">
        <v>12</v>
      </c>
      <c r="E57" s="37">
        <v>9</v>
      </c>
      <c r="F57" s="37">
        <v>2010</v>
      </c>
      <c r="G57" s="36">
        <f t="shared" si="5"/>
        <v>8</v>
      </c>
      <c r="H57" s="36" t="s">
        <v>11</v>
      </c>
      <c r="I57" s="73" t="s">
        <v>67</v>
      </c>
      <c r="J57" s="145">
        <v>2018</v>
      </c>
      <c r="K57" s="145" t="s">
        <v>57</v>
      </c>
      <c r="L57" s="38"/>
      <c r="M57" s="21"/>
      <c r="O57" s="23">
        <v>2018</v>
      </c>
    </row>
    <row r="58" spans="2:15" x14ac:dyDescent="0.3">
      <c r="B58" s="71" t="s">
        <v>95</v>
      </c>
      <c r="C58" s="72" t="s">
        <v>96</v>
      </c>
      <c r="D58" s="37">
        <v>10</v>
      </c>
      <c r="E58" s="37">
        <v>1</v>
      </c>
      <c r="F58" s="37">
        <v>2009</v>
      </c>
      <c r="G58" s="36">
        <f t="shared" si="5"/>
        <v>9</v>
      </c>
      <c r="H58" s="36" t="s">
        <v>11</v>
      </c>
      <c r="I58" s="167"/>
      <c r="J58" s="145">
        <v>2018</v>
      </c>
      <c r="K58" s="145" t="s">
        <v>57</v>
      </c>
      <c r="L58" s="38"/>
      <c r="M58" s="21"/>
      <c r="O58" s="23">
        <v>2018</v>
      </c>
    </row>
    <row r="59" spans="2:15" x14ac:dyDescent="0.3">
      <c r="B59" s="71" t="s">
        <v>97</v>
      </c>
      <c r="C59" s="72" t="s">
        <v>98</v>
      </c>
      <c r="D59" s="37">
        <v>6</v>
      </c>
      <c r="E59" s="37">
        <v>7</v>
      </c>
      <c r="F59" s="37">
        <v>2008</v>
      </c>
      <c r="G59" s="36">
        <f t="shared" si="5"/>
        <v>10</v>
      </c>
      <c r="H59" s="36" t="s">
        <v>11</v>
      </c>
      <c r="I59" s="11" t="s">
        <v>67</v>
      </c>
      <c r="J59" s="145">
        <v>2018</v>
      </c>
      <c r="K59" s="145" t="s">
        <v>57</v>
      </c>
      <c r="L59" s="38"/>
      <c r="M59" s="21"/>
      <c r="O59" s="23">
        <v>2018</v>
      </c>
    </row>
    <row r="60" spans="2:15" x14ac:dyDescent="0.3">
      <c r="B60" s="71" t="s">
        <v>100</v>
      </c>
      <c r="C60" s="72" t="s">
        <v>99</v>
      </c>
      <c r="D60" s="37">
        <v>5</v>
      </c>
      <c r="E60" s="37">
        <v>11</v>
      </c>
      <c r="F60" s="37">
        <v>2008</v>
      </c>
      <c r="G60" s="36">
        <f t="shared" si="5"/>
        <v>10</v>
      </c>
      <c r="H60" s="36" t="s">
        <v>11</v>
      </c>
      <c r="I60" s="167"/>
      <c r="J60" s="145">
        <v>2018</v>
      </c>
      <c r="K60" s="145" t="s">
        <v>57</v>
      </c>
      <c r="L60" s="38"/>
      <c r="M60" s="21"/>
      <c r="O60" s="23">
        <v>2018</v>
      </c>
    </row>
    <row r="61" spans="2:15" x14ac:dyDescent="0.3">
      <c r="B61" s="71" t="s">
        <v>102</v>
      </c>
      <c r="C61" s="72" t="s">
        <v>101</v>
      </c>
      <c r="D61" s="37">
        <v>5</v>
      </c>
      <c r="E61" s="37">
        <v>5</v>
      </c>
      <c r="F61" s="37">
        <v>2008</v>
      </c>
      <c r="G61" s="36">
        <f t="shared" si="5"/>
        <v>10</v>
      </c>
      <c r="H61" s="36" t="s">
        <v>11</v>
      </c>
      <c r="I61" s="73" t="s">
        <v>69</v>
      </c>
      <c r="J61" s="145">
        <v>2018</v>
      </c>
      <c r="K61" s="143" t="s">
        <v>28</v>
      </c>
      <c r="L61" s="38"/>
      <c r="M61" s="21"/>
      <c r="O61" s="23">
        <v>2018</v>
      </c>
    </row>
    <row r="62" spans="2:15" x14ac:dyDescent="0.3">
      <c r="B62" s="14" t="s">
        <v>247</v>
      </c>
      <c r="C62" s="75" t="s">
        <v>248</v>
      </c>
      <c r="D62" s="11">
        <v>14</v>
      </c>
      <c r="E62" s="11">
        <v>2</v>
      </c>
      <c r="F62" s="11">
        <v>2007</v>
      </c>
      <c r="G62" s="145">
        <f t="shared" si="5"/>
        <v>11</v>
      </c>
      <c r="H62" s="145" t="s">
        <v>11</v>
      </c>
      <c r="I62" s="11" t="s">
        <v>69</v>
      </c>
      <c r="J62" s="145">
        <v>2018</v>
      </c>
      <c r="K62" s="143" t="s">
        <v>29</v>
      </c>
      <c r="L62" s="38"/>
      <c r="M62" s="21"/>
      <c r="O62" s="23">
        <v>2018</v>
      </c>
    </row>
    <row r="63" spans="2:15" x14ac:dyDescent="0.3">
      <c r="B63" s="76" t="s">
        <v>104</v>
      </c>
      <c r="C63" s="77" t="s">
        <v>103</v>
      </c>
      <c r="D63" s="11">
        <v>26</v>
      </c>
      <c r="E63" s="11">
        <v>5</v>
      </c>
      <c r="F63" s="11">
        <v>2007</v>
      </c>
      <c r="G63" s="36">
        <f t="shared" si="5"/>
        <v>11</v>
      </c>
      <c r="H63" s="36" t="s">
        <v>11</v>
      </c>
      <c r="I63" s="167"/>
      <c r="J63" s="145">
        <v>2018</v>
      </c>
      <c r="K63" s="143" t="s">
        <v>29</v>
      </c>
      <c r="L63" s="38"/>
      <c r="M63" s="21"/>
      <c r="O63" s="23">
        <v>2018</v>
      </c>
    </row>
    <row r="64" spans="2:15" x14ac:dyDescent="0.3">
      <c r="B64" s="76" t="s">
        <v>105</v>
      </c>
      <c r="C64" s="77"/>
      <c r="D64" s="11">
        <v>30</v>
      </c>
      <c r="E64" s="11">
        <v>7</v>
      </c>
      <c r="F64" s="11">
        <v>2006</v>
      </c>
      <c r="G64" s="36">
        <f t="shared" si="5"/>
        <v>12</v>
      </c>
      <c r="H64" s="36" t="s">
        <v>11</v>
      </c>
      <c r="I64" s="11" t="s">
        <v>67</v>
      </c>
      <c r="J64" s="145">
        <v>2018</v>
      </c>
      <c r="K64" s="143" t="s">
        <v>29</v>
      </c>
      <c r="L64" s="38"/>
      <c r="M64" s="21"/>
      <c r="O64" s="23">
        <v>2018</v>
      </c>
    </row>
    <row r="65" spans="2:15" x14ac:dyDescent="0.3">
      <c r="B65" s="76" t="s">
        <v>108</v>
      </c>
      <c r="C65" s="77" t="s">
        <v>106</v>
      </c>
      <c r="D65" s="11">
        <v>2</v>
      </c>
      <c r="E65" s="11">
        <v>2</v>
      </c>
      <c r="F65" s="11">
        <v>2006</v>
      </c>
      <c r="G65" s="36">
        <f t="shared" si="5"/>
        <v>12</v>
      </c>
      <c r="H65" s="36" t="s">
        <v>11</v>
      </c>
      <c r="I65" s="11" t="s">
        <v>69</v>
      </c>
      <c r="J65" s="145">
        <v>2018</v>
      </c>
      <c r="K65" s="143" t="s">
        <v>31</v>
      </c>
      <c r="L65" s="38"/>
      <c r="M65" s="21"/>
      <c r="O65" s="23">
        <v>2018</v>
      </c>
    </row>
    <row r="66" spans="2:15" x14ac:dyDescent="0.3">
      <c r="B66" s="76" t="s">
        <v>108</v>
      </c>
      <c r="C66" s="77" t="s">
        <v>107</v>
      </c>
      <c r="D66" s="11">
        <v>2</v>
      </c>
      <c r="E66" s="11">
        <v>2</v>
      </c>
      <c r="F66" s="11">
        <v>2006</v>
      </c>
      <c r="G66" s="36">
        <f t="shared" si="5"/>
        <v>12</v>
      </c>
      <c r="H66" s="36" t="s">
        <v>11</v>
      </c>
      <c r="I66" s="11" t="s">
        <v>69</v>
      </c>
      <c r="J66" s="145">
        <v>2018</v>
      </c>
      <c r="K66" s="143" t="s">
        <v>31</v>
      </c>
      <c r="L66" s="38"/>
      <c r="M66" s="21"/>
      <c r="O66" s="23">
        <v>2018</v>
      </c>
    </row>
    <row r="67" spans="2:15" x14ac:dyDescent="0.3">
      <c r="B67" s="76" t="s">
        <v>110</v>
      </c>
      <c r="C67" s="77" t="s">
        <v>109</v>
      </c>
      <c r="D67" s="11">
        <v>7</v>
      </c>
      <c r="E67" s="11">
        <v>4</v>
      </c>
      <c r="F67" s="11">
        <v>2006</v>
      </c>
      <c r="G67" s="36">
        <f t="shared" si="5"/>
        <v>12</v>
      </c>
      <c r="H67" s="36" t="s">
        <v>11</v>
      </c>
      <c r="I67" s="167"/>
      <c r="J67" s="145">
        <v>2018</v>
      </c>
      <c r="K67" s="143" t="s">
        <v>31</v>
      </c>
      <c r="L67" s="38"/>
      <c r="M67" s="21"/>
      <c r="O67" s="23">
        <v>2018</v>
      </c>
    </row>
    <row r="68" spans="2:15" x14ac:dyDescent="0.3">
      <c r="B68" s="76" t="s">
        <v>112</v>
      </c>
      <c r="C68" s="77" t="s">
        <v>111</v>
      </c>
      <c r="D68" s="11">
        <v>25</v>
      </c>
      <c r="E68" s="11">
        <v>12</v>
      </c>
      <c r="F68" s="11">
        <v>2005</v>
      </c>
      <c r="G68" s="36">
        <f t="shared" si="5"/>
        <v>13</v>
      </c>
      <c r="H68" s="36" t="s">
        <v>11</v>
      </c>
      <c r="I68" s="11" t="s">
        <v>70</v>
      </c>
      <c r="J68" s="145">
        <v>2018</v>
      </c>
      <c r="K68" s="143" t="s">
        <v>31</v>
      </c>
      <c r="L68" s="38"/>
      <c r="M68" s="21"/>
      <c r="O68" s="23">
        <v>2018</v>
      </c>
    </row>
    <row r="69" spans="2:15" x14ac:dyDescent="0.3">
      <c r="B69" s="76" t="s">
        <v>113</v>
      </c>
      <c r="C69" s="77" t="s">
        <v>93</v>
      </c>
      <c r="D69" s="11">
        <v>21</v>
      </c>
      <c r="E69" s="11">
        <v>9</v>
      </c>
      <c r="F69" s="11">
        <v>2005</v>
      </c>
      <c r="G69" s="36">
        <f t="shared" si="5"/>
        <v>13</v>
      </c>
      <c r="H69" s="36" t="s">
        <v>11</v>
      </c>
      <c r="I69" s="149" t="s">
        <v>192</v>
      </c>
      <c r="J69" s="145">
        <v>2018</v>
      </c>
      <c r="K69" s="143" t="s">
        <v>31</v>
      </c>
      <c r="L69" s="38"/>
      <c r="M69" s="21"/>
      <c r="O69" s="23">
        <v>2018</v>
      </c>
    </row>
    <row r="70" spans="2:15" x14ac:dyDescent="0.3">
      <c r="B70" s="71" t="s">
        <v>90</v>
      </c>
      <c r="C70" s="77" t="s">
        <v>81</v>
      </c>
      <c r="D70" s="11">
        <v>27</v>
      </c>
      <c r="E70" s="11">
        <v>2</v>
      </c>
      <c r="F70" s="11">
        <v>2005</v>
      </c>
      <c r="G70" s="36">
        <f t="shared" si="5"/>
        <v>13</v>
      </c>
      <c r="H70" s="36" t="s">
        <v>11</v>
      </c>
      <c r="I70" s="73" t="s">
        <v>70</v>
      </c>
      <c r="J70" s="145">
        <v>2018</v>
      </c>
      <c r="K70" s="145" t="s">
        <v>44</v>
      </c>
      <c r="L70" s="38"/>
      <c r="M70" s="21"/>
      <c r="O70" s="23">
        <v>2018</v>
      </c>
    </row>
    <row r="71" spans="2:15" x14ac:dyDescent="0.3">
      <c r="B71" s="76" t="s">
        <v>38</v>
      </c>
      <c r="C71" s="77" t="s">
        <v>114</v>
      </c>
      <c r="D71" s="11">
        <v>24</v>
      </c>
      <c r="E71" s="11">
        <v>9</v>
      </c>
      <c r="F71" s="11">
        <v>2004</v>
      </c>
      <c r="G71" s="36">
        <f t="shared" si="5"/>
        <v>14</v>
      </c>
      <c r="H71" s="36" t="s">
        <v>11</v>
      </c>
      <c r="I71" s="11" t="s">
        <v>69</v>
      </c>
      <c r="J71" s="145">
        <v>2018</v>
      </c>
      <c r="K71" s="145" t="s">
        <v>44</v>
      </c>
      <c r="L71" s="38"/>
      <c r="M71" s="21"/>
      <c r="O71" s="23">
        <v>2018</v>
      </c>
    </row>
    <row r="72" spans="2:15" x14ac:dyDescent="0.3">
      <c r="L72" s="38"/>
      <c r="M72" s="21"/>
      <c r="O72" s="23">
        <v>2018</v>
      </c>
    </row>
    <row r="73" spans="2:15" x14ac:dyDescent="0.3">
      <c r="O73" s="23">
        <v>2018</v>
      </c>
    </row>
    <row r="74" spans="2:15" x14ac:dyDescent="0.3">
      <c r="B74" s="81" t="s">
        <v>228</v>
      </c>
      <c r="D74" s="80" t="s">
        <v>401</v>
      </c>
      <c r="O74" s="23">
        <v>2018</v>
      </c>
    </row>
    <row r="75" spans="2:15" x14ac:dyDescent="0.3">
      <c r="B75" s="81" t="s">
        <v>229</v>
      </c>
      <c r="D75" s="80" t="s">
        <v>227</v>
      </c>
      <c r="K75" s="21"/>
      <c r="O75" s="23">
        <v>2018</v>
      </c>
    </row>
    <row r="76" spans="2:15" x14ac:dyDescent="0.3">
      <c r="B76" s="81"/>
      <c r="D76" s="79" t="s">
        <v>226</v>
      </c>
      <c r="K76" s="21"/>
      <c r="O76" s="23">
        <v>2018</v>
      </c>
    </row>
    <row r="77" spans="2:15" x14ac:dyDescent="0.3">
      <c r="K77" s="21"/>
      <c r="O77" s="23">
        <v>2018</v>
      </c>
    </row>
    <row r="78" spans="2:15" x14ac:dyDescent="0.3">
      <c r="O78" s="23">
        <v>2018</v>
      </c>
    </row>
    <row r="79" spans="2:15" x14ac:dyDescent="0.3">
      <c r="O79" s="23">
        <v>2018</v>
      </c>
    </row>
    <row r="80" spans="2:15" x14ac:dyDescent="0.3">
      <c r="O80" s="23">
        <v>2018</v>
      </c>
    </row>
    <row r="81" spans="15:15" x14ac:dyDescent="0.3">
      <c r="O81" s="23">
        <v>2018</v>
      </c>
    </row>
    <row r="82" spans="15:15" x14ac:dyDescent="0.3">
      <c r="O82" s="23" t="s">
        <v>192</v>
      </c>
    </row>
  </sheetData>
  <sheetProtection algorithmName="SHA-512" hashValue="XlDZhNh+fcfsbd6WBu5e+7FSdGKorYOG8Fatl/+3FK/OWwtARskljXJt8X5h2Y0gg5lLgdqABAPDH4aFUTbrlg==" saltValue="iUyAincs9MRk+kGaZLBHgA==" spinCount="100000" sheet="1" objects="1" scenarios="1"/>
  <sortState ref="B37:I40">
    <sortCondition ref="B37"/>
  </sortState>
  <mergeCells count="16">
    <mergeCell ref="M25:M34"/>
    <mergeCell ref="D52:F52"/>
    <mergeCell ref="M37:M40"/>
    <mergeCell ref="M41:M44"/>
    <mergeCell ref="L25:L29"/>
    <mergeCell ref="L30:L31"/>
    <mergeCell ref="L37:L40"/>
    <mergeCell ref="L41:L44"/>
    <mergeCell ref="L32:L34"/>
    <mergeCell ref="H1:I1"/>
    <mergeCell ref="D18:F18"/>
    <mergeCell ref="D5:F5"/>
    <mergeCell ref="L22:L24"/>
    <mergeCell ref="M19:M24"/>
    <mergeCell ref="G2:K2"/>
    <mergeCell ref="L19:L21"/>
  </mergeCells>
  <pageMargins left="0" right="0" top="0" bottom="0" header="0.31496062992125984" footer="0"/>
  <pageSetup paperSize="9" scale="90" orientation="landscape" r:id="rId1"/>
  <ignoredErrors>
    <ignoredError sqref="G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4"/>
  <sheetViews>
    <sheetView workbookViewId="0"/>
  </sheetViews>
  <sheetFormatPr baseColWidth="10" defaultColWidth="11.44140625" defaultRowHeight="14.4" x14ac:dyDescent="0.3"/>
  <cols>
    <col min="1" max="1" width="1.33203125" style="21" customWidth="1"/>
    <col min="2" max="2" width="10.109375" style="21" customWidth="1"/>
    <col min="3" max="3" width="8.5546875" style="21" bestFit="1" customWidth="1"/>
    <col min="4" max="4" width="3.109375" style="21" bestFit="1" customWidth="1"/>
    <col min="5" max="5" width="3" style="21" bestFit="1" customWidth="1"/>
    <col min="6" max="6" width="5" style="21" bestFit="1" customWidth="1"/>
    <col min="7" max="7" width="12.44140625" style="21" bestFit="1" customWidth="1"/>
    <col min="8" max="8" width="15.88671875" style="21" bestFit="1" customWidth="1"/>
    <col min="9" max="9" width="15.33203125" style="21" bestFit="1" customWidth="1"/>
    <col min="10" max="10" width="14.6640625" style="21" customWidth="1"/>
    <col min="11" max="11" width="27.6640625" style="50" bestFit="1" customWidth="1"/>
    <col min="12" max="12" width="5.6640625" style="50" customWidth="1"/>
    <col min="13" max="13" width="27.6640625" style="50" customWidth="1"/>
    <col min="14" max="14" width="11.44140625" style="23"/>
    <col min="15" max="15" width="10.33203125" style="23" hidden="1" customWidth="1"/>
    <col min="16" max="16384" width="11.44140625" style="21"/>
  </cols>
  <sheetData>
    <row r="1" spans="2:15" s="22" customFormat="1" x14ac:dyDescent="0.3">
      <c r="B1" s="20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O1" s="23">
        <v>2018</v>
      </c>
    </row>
    <row r="2" spans="2:15" x14ac:dyDescent="0.3">
      <c r="B2" s="24" t="s">
        <v>171</v>
      </c>
      <c r="C2" s="25"/>
      <c r="D2" s="78" t="s">
        <v>231</v>
      </c>
      <c r="E2" s="26"/>
      <c r="F2" s="26"/>
      <c r="G2" s="78" t="s">
        <v>405</v>
      </c>
      <c r="H2" s="26"/>
      <c r="I2" s="26"/>
      <c r="K2" s="26"/>
      <c r="L2" s="24" t="s">
        <v>416</v>
      </c>
      <c r="M2" s="26"/>
      <c r="O2" s="23">
        <v>2018</v>
      </c>
    </row>
    <row r="3" spans="2:15" ht="12.75" customHeight="1" x14ac:dyDescent="0.3">
      <c r="B3" s="27"/>
      <c r="I3" s="83"/>
      <c r="J3" s="83"/>
      <c r="K3" s="21"/>
      <c r="L3" s="21"/>
      <c r="M3" s="21"/>
      <c r="O3" s="23">
        <v>2018</v>
      </c>
    </row>
    <row r="4" spans="2:15" x14ac:dyDescent="0.3">
      <c r="B4" s="24"/>
      <c r="C4" s="25"/>
      <c r="D4" s="26"/>
      <c r="E4" s="26"/>
      <c r="F4" s="26"/>
      <c r="G4" s="26"/>
      <c r="H4" s="26"/>
      <c r="I4" s="225"/>
      <c r="J4" s="226"/>
      <c r="K4" s="26"/>
      <c r="L4" s="26"/>
      <c r="M4" s="26"/>
      <c r="O4" s="23">
        <v>2018</v>
      </c>
    </row>
    <row r="5" spans="2:15" x14ac:dyDescent="0.3">
      <c r="B5" s="24" t="s">
        <v>189</v>
      </c>
      <c r="C5" s="25"/>
      <c r="D5" s="26"/>
      <c r="E5" s="26"/>
      <c r="F5" s="26"/>
      <c r="G5" s="26"/>
      <c r="H5" s="26"/>
      <c r="I5" s="26"/>
      <c r="J5" s="24"/>
      <c r="K5" s="26"/>
      <c r="L5" s="26"/>
      <c r="M5" s="26"/>
      <c r="O5" s="23">
        <v>2018</v>
      </c>
    </row>
    <row r="6" spans="2:15" x14ac:dyDescent="0.3">
      <c r="B6" s="28" t="s">
        <v>0</v>
      </c>
      <c r="C6" s="29" t="s">
        <v>1</v>
      </c>
      <c r="D6" s="227" t="s">
        <v>2</v>
      </c>
      <c r="E6" s="227"/>
      <c r="F6" s="227"/>
      <c r="G6" s="30" t="s">
        <v>379</v>
      </c>
      <c r="H6" s="53" t="s">
        <v>7</v>
      </c>
      <c r="I6" s="53" t="s">
        <v>5</v>
      </c>
      <c r="J6" s="53" t="s">
        <v>4</v>
      </c>
      <c r="K6" s="53" t="s">
        <v>3</v>
      </c>
      <c r="L6" s="31"/>
      <c r="M6" s="32"/>
      <c r="O6" s="23">
        <v>2018</v>
      </c>
    </row>
    <row r="7" spans="2:15" x14ac:dyDescent="0.3">
      <c r="B7" s="39" t="s">
        <v>263</v>
      </c>
      <c r="C7" s="40" t="s">
        <v>264</v>
      </c>
      <c r="D7" s="67">
        <v>23</v>
      </c>
      <c r="E7" s="36">
        <v>4</v>
      </c>
      <c r="F7" s="36">
        <v>2016</v>
      </c>
      <c r="G7" s="36">
        <f>O7-F7</f>
        <v>2</v>
      </c>
      <c r="H7" s="153" t="s">
        <v>11</v>
      </c>
      <c r="I7" s="154" t="s">
        <v>393</v>
      </c>
      <c r="J7" s="36">
        <v>2020</v>
      </c>
      <c r="K7" s="36" t="s">
        <v>160</v>
      </c>
      <c r="L7" s="38"/>
      <c r="M7" s="21"/>
      <c r="O7" s="23">
        <v>2018</v>
      </c>
    </row>
    <row r="8" spans="2:15" x14ac:dyDescent="0.3">
      <c r="B8" s="39" t="s">
        <v>168</v>
      </c>
      <c r="C8" s="40" t="s">
        <v>180</v>
      </c>
      <c r="D8" s="67">
        <v>15</v>
      </c>
      <c r="E8" s="36">
        <v>7</v>
      </c>
      <c r="F8" s="36">
        <v>2015</v>
      </c>
      <c r="G8" s="36">
        <f>O8-F8</f>
        <v>3</v>
      </c>
      <c r="H8" s="143" t="s">
        <v>18</v>
      </c>
      <c r="I8" s="154" t="s">
        <v>167</v>
      </c>
      <c r="J8" s="36">
        <v>2020</v>
      </c>
      <c r="K8" s="36" t="s">
        <v>160</v>
      </c>
      <c r="L8" s="38"/>
      <c r="M8" s="21"/>
      <c r="O8" s="23">
        <v>2018</v>
      </c>
    </row>
    <row r="9" spans="2:15" x14ac:dyDescent="0.3">
      <c r="B9" s="45"/>
      <c r="C9" s="45"/>
      <c r="D9" s="46"/>
      <c r="E9" s="46"/>
      <c r="F9" s="46"/>
      <c r="G9" s="46"/>
      <c r="I9" s="47"/>
      <c r="J9" s="46"/>
      <c r="K9" s="21"/>
      <c r="L9" s="21"/>
      <c r="M9" s="21"/>
      <c r="O9" s="23">
        <v>2018</v>
      </c>
    </row>
    <row r="10" spans="2:15" x14ac:dyDescent="0.3">
      <c r="O10" s="23">
        <v>2018</v>
      </c>
    </row>
    <row r="11" spans="2:15" x14ac:dyDescent="0.3">
      <c r="B11" s="24" t="s">
        <v>378</v>
      </c>
      <c r="C11" s="26"/>
      <c r="D11" s="26"/>
      <c r="E11" s="26"/>
      <c r="F11" s="26"/>
      <c r="G11" s="26"/>
      <c r="H11" s="26"/>
      <c r="I11" s="26"/>
      <c r="J11" s="32"/>
      <c r="K11" s="26"/>
      <c r="L11" s="26"/>
      <c r="M11" s="26"/>
      <c r="O11" s="23">
        <v>2018</v>
      </c>
    </row>
    <row r="12" spans="2:15" x14ac:dyDescent="0.3">
      <c r="B12" s="28" t="s">
        <v>0</v>
      </c>
      <c r="C12" s="29" t="s">
        <v>1</v>
      </c>
      <c r="D12" s="227" t="s">
        <v>2</v>
      </c>
      <c r="E12" s="227"/>
      <c r="F12" s="227"/>
      <c r="G12" s="30" t="s">
        <v>379</v>
      </c>
      <c r="H12" s="53" t="s">
        <v>7</v>
      </c>
      <c r="I12" s="53" t="s">
        <v>5</v>
      </c>
      <c r="J12" s="53" t="s">
        <v>4</v>
      </c>
      <c r="K12" s="53" t="s">
        <v>3</v>
      </c>
      <c r="L12" s="53" t="s">
        <v>174</v>
      </c>
      <c r="M12" s="53" t="s">
        <v>172</v>
      </c>
      <c r="O12" s="23">
        <v>2018</v>
      </c>
    </row>
    <row r="13" spans="2:15" s="144" customFormat="1" ht="12.75" customHeight="1" x14ac:dyDescent="0.3">
      <c r="B13" s="146" t="s">
        <v>182</v>
      </c>
      <c r="C13" s="147" t="s">
        <v>156</v>
      </c>
      <c r="D13" s="67">
        <v>27</v>
      </c>
      <c r="E13" s="145">
        <v>10</v>
      </c>
      <c r="F13" s="145">
        <v>2013</v>
      </c>
      <c r="G13" s="145">
        <f t="shared" ref="G13:G14" si="0">O13-F13</f>
        <v>5</v>
      </c>
      <c r="H13" s="145" t="s">
        <v>15</v>
      </c>
      <c r="I13" s="11" t="s">
        <v>190</v>
      </c>
      <c r="J13" s="37">
        <v>2018</v>
      </c>
      <c r="K13" s="145" t="s">
        <v>160</v>
      </c>
      <c r="L13" s="235">
        <v>2</v>
      </c>
      <c r="M13" s="238" t="s">
        <v>412</v>
      </c>
      <c r="N13" s="165"/>
      <c r="O13" s="23">
        <v>2018</v>
      </c>
    </row>
    <row r="14" spans="2:15" s="144" customFormat="1" ht="12.75" customHeight="1" x14ac:dyDescent="0.3">
      <c r="B14" s="146" t="s">
        <v>183</v>
      </c>
      <c r="C14" s="147" t="s">
        <v>184</v>
      </c>
      <c r="D14" s="67">
        <v>21</v>
      </c>
      <c r="E14" s="145">
        <v>12</v>
      </c>
      <c r="F14" s="145">
        <v>2013</v>
      </c>
      <c r="G14" s="145">
        <f t="shared" si="0"/>
        <v>5</v>
      </c>
      <c r="H14" s="145" t="s">
        <v>18</v>
      </c>
      <c r="I14" s="11" t="s">
        <v>393</v>
      </c>
      <c r="J14" s="37">
        <v>2018</v>
      </c>
      <c r="K14" s="145" t="s">
        <v>160</v>
      </c>
      <c r="L14" s="245"/>
      <c r="M14" s="232"/>
      <c r="N14" s="165"/>
      <c r="O14" s="23">
        <v>2018</v>
      </c>
    </row>
    <row r="15" spans="2:15" x14ac:dyDescent="0.3">
      <c r="B15" s="39" t="s">
        <v>187</v>
      </c>
      <c r="C15" s="34" t="s">
        <v>84</v>
      </c>
      <c r="D15" s="67">
        <v>28</v>
      </c>
      <c r="E15" s="35">
        <v>7</v>
      </c>
      <c r="F15" s="35">
        <v>2011</v>
      </c>
      <c r="G15" s="36">
        <f t="shared" ref="G15:G22" si="1">O15-F15</f>
        <v>7</v>
      </c>
      <c r="H15" s="145" t="s">
        <v>15</v>
      </c>
      <c r="I15" s="11" t="s">
        <v>161</v>
      </c>
      <c r="J15" s="37">
        <v>2018</v>
      </c>
      <c r="K15" s="105" t="s">
        <v>24</v>
      </c>
      <c r="L15" s="242">
        <v>2</v>
      </c>
      <c r="M15" s="248" t="s">
        <v>420</v>
      </c>
      <c r="O15" s="23">
        <v>2018</v>
      </c>
    </row>
    <row r="16" spans="2:15" x14ac:dyDescent="0.3">
      <c r="B16" s="39" t="s">
        <v>168</v>
      </c>
      <c r="C16" s="40" t="s">
        <v>122</v>
      </c>
      <c r="D16" s="67">
        <v>27</v>
      </c>
      <c r="E16" s="36">
        <v>12</v>
      </c>
      <c r="F16" s="36">
        <v>2011</v>
      </c>
      <c r="G16" s="36">
        <f t="shared" si="1"/>
        <v>7</v>
      </c>
      <c r="H16" s="36" t="s">
        <v>18</v>
      </c>
      <c r="I16" s="106" t="s">
        <v>167</v>
      </c>
      <c r="J16" s="37">
        <v>2018</v>
      </c>
      <c r="K16" s="37" t="s">
        <v>24</v>
      </c>
      <c r="L16" s="237"/>
      <c r="M16" s="246"/>
      <c r="O16" s="23">
        <v>2018</v>
      </c>
    </row>
    <row r="17" spans="2:15" ht="15" customHeight="1" x14ac:dyDescent="0.3">
      <c r="B17" s="68" t="s">
        <v>194</v>
      </c>
      <c r="C17" s="69" t="s">
        <v>188</v>
      </c>
      <c r="D17" s="36">
        <v>18</v>
      </c>
      <c r="E17" s="36">
        <v>5</v>
      </c>
      <c r="F17" s="36">
        <v>2010</v>
      </c>
      <c r="G17" s="36">
        <f>ECHENAGUCIA!O77-F17</f>
        <v>8</v>
      </c>
      <c r="H17" s="42" t="s">
        <v>18</v>
      </c>
      <c r="I17" s="11" t="s">
        <v>167</v>
      </c>
      <c r="J17" s="37">
        <v>2018</v>
      </c>
      <c r="K17" s="143" t="s">
        <v>170</v>
      </c>
      <c r="L17" s="240">
        <v>3</v>
      </c>
      <c r="M17" s="246"/>
      <c r="O17" s="23">
        <v>2018</v>
      </c>
    </row>
    <row r="18" spans="2:15" x14ac:dyDescent="0.3">
      <c r="B18" s="17" t="s">
        <v>163</v>
      </c>
      <c r="C18" s="48" t="s">
        <v>60</v>
      </c>
      <c r="D18" s="8">
        <v>19</v>
      </c>
      <c r="E18" s="8">
        <v>6</v>
      </c>
      <c r="F18" s="8">
        <v>2010</v>
      </c>
      <c r="G18" s="36">
        <f t="shared" ref="G18" si="2">O18-F18</f>
        <v>8</v>
      </c>
      <c r="H18" s="36" t="s">
        <v>18</v>
      </c>
      <c r="I18" s="9" t="s">
        <v>162</v>
      </c>
      <c r="J18" s="37">
        <v>2018</v>
      </c>
      <c r="K18" s="143" t="s">
        <v>170</v>
      </c>
      <c r="L18" s="236"/>
      <c r="M18" s="246"/>
      <c r="O18" s="23">
        <v>2018</v>
      </c>
    </row>
    <row r="19" spans="2:15" x14ac:dyDescent="0.3">
      <c r="B19" s="17" t="s">
        <v>163</v>
      </c>
      <c r="C19" s="48" t="s">
        <v>33</v>
      </c>
      <c r="D19" s="8">
        <v>19</v>
      </c>
      <c r="E19" s="8">
        <v>6</v>
      </c>
      <c r="F19" s="8">
        <v>2010</v>
      </c>
      <c r="G19" s="36">
        <f t="shared" si="1"/>
        <v>8</v>
      </c>
      <c r="H19" s="36" t="s">
        <v>18</v>
      </c>
      <c r="I19" s="9" t="s">
        <v>162</v>
      </c>
      <c r="J19" s="37">
        <v>2018</v>
      </c>
      <c r="K19" s="143" t="s">
        <v>170</v>
      </c>
      <c r="L19" s="237"/>
      <c r="M19" s="246"/>
      <c r="O19" s="23">
        <v>2018</v>
      </c>
    </row>
    <row r="20" spans="2:15" x14ac:dyDescent="0.3">
      <c r="B20" s="17" t="s">
        <v>167</v>
      </c>
      <c r="C20" s="48" t="s">
        <v>166</v>
      </c>
      <c r="D20" s="8">
        <v>5</v>
      </c>
      <c r="E20" s="8">
        <v>10</v>
      </c>
      <c r="F20" s="8">
        <v>2008</v>
      </c>
      <c r="G20" s="36">
        <f t="shared" si="1"/>
        <v>10</v>
      </c>
      <c r="H20" s="36" t="s">
        <v>18</v>
      </c>
      <c r="I20" s="9" t="s">
        <v>162</v>
      </c>
      <c r="J20" s="37">
        <v>2018</v>
      </c>
      <c r="K20" s="143" t="s">
        <v>250</v>
      </c>
      <c r="L20" s="6">
        <v>1</v>
      </c>
      <c r="M20" s="247"/>
      <c r="O20" s="23">
        <v>2018</v>
      </c>
    </row>
    <row r="21" spans="2:15" x14ac:dyDescent="0.3">
      <c r="B21" s="17" t="s">
        <v>168</v>
      </c>
      <c r="C21" s="48" t="s">
        <v>106</v>
      </c>
      <c r="D21" s="8">
        <v>14</v>
      </c>
      <c r="E21" s="8">
        <v>2</v>
      </c>
      <c r="F21" s="8">
        <v>2008</v>
      </c>
      <c r="G21" s="36">
        <f t="shared" si="1"/>
        <v>10</v>
      </c>
      <c r="H21" s="36" t="s">
        <v>18</v>
      </c>
      <c r="I21" s="154" t="s">
        <v>167</v>
      </c>
      <c r="J21" s="37">
        <v>2018</v>
      </c>
      <c r="K21" s="143" t="s">
        <v>28</v>
      </c>
      <c r="L21" s="242">
        <v>2</v>
      </c>
      <c r="M21" s="246" t="s">
        <v>413</v>
      </c>
      <c r="O21" s="23">
        <v>2018</v>
      </c>
    </row>
    <row r="22" spans="2:15" x14ac:dyDescent="0.3">
      <c r="B22" s="68" t="s">
        <v>194</v>
      </c>
      <c r="C22" s="69" t="s">
        <v>98</v>
      </c>
      <c r="D22" s="36">
        <v>15</v>
      </c>
      <c r="E22" s="36">
        <v>5</v>
      </c>
      <c r="F22" s="36">
        <v>2008</v>
      </c>
      <c r="G22" s="36">
        <f t="shared" si="1"/>
        <v>10</v>
      </c>
      <c r="H22" s="42" t="s">
        <v>18</v>
      </c>
      <c r="I22" s="11" t="s">
        <v>167</v>
      </c>
      <c r="J22" s="37">
        <v>2018</v>
      </c>
      <c r="K22" s="143" t="s">
        <v>28</v>
      </c>
      <c r="L22" s="241"/>
      <c r="M22" s="247"/>
      <c r="O22" s="23">
        <v>2018</v>
      </c>
    </row>
    <row r="23" spans="2:15" x14ac:dyDescent="0.3">
      <c r="B23" s="4"/>
      <c r="C23" s="70"/>
      <c r="D23" s="3"/>
      <c r="E23" s="3"/>
      <c r="F23" s="50"/>
      <c r="G23" s="50"/>
      <c r="H23" s="50"/>
      <c r="I23" s="2"/>
      <c r="J23" s="50"/>
      <c r="K23" s="2"/>
      <c r="L23" s="2"/>
      <c r="M23" s="2"/>
      <c r="O23" s="23">
        <v>2018</v>
      </c>
    </row>
    <row r="24" spans="2:15" x14ac:dyDescent="0.3">
      <c r="B24" s="4"/>
      <c r="C24" s="70"/>
      <c r="D24" s="3"/>
      <c r="E24" s="3"/>
      <c r="F24" s="50"/>
      <c r="G24" s="50"/>
      <c r="H24" s="50"/>
      <c r="I24" s="2"/>
      <c r="J24" s="50"/>
      <c r="K24" s="2"/>
      <c r="L24" s="2"/>
      <c r="M24" s="2" t="s">
        <v>192</v>
      </c>
      <c r="O24" s="23">
        <v>2018</v>
      </c>
    </row>
    <row r="25" spans="2:15" x14ac:dyDescent="0.3">
      <c r="B25" s="24" t="s">
        <v>377</v>
      </c>
      <c r="C25" s="20"/>
      <c r="K25" s="21"/>
      <c r="L25" s="21"/>
      <c r="M25" s="21" t="s">
        <v>192</v>
      </c>
      <c r="O25" s="23">
        <v>2018</v>
      </c>
    </row>
    <row r="26" spans="2:15" x14ac:dyDescent="0.3">
      <c r="B26" s="28" t="s">
        <v>0</v>
      </c>
      <c r="C26" s="29" t="s">
        <v>1</v>
      </c>
      <c r="D26" s="227" t="s">
        <v>2</v>
      </c>
      <c r="E26" s="227"/>
      <c r="F26" s="227"/>
      <c r="G26" s="30" t="s">
        <v>379</v>
      </c>
      <c r="H26" s="53" t="s">
        <v>7</v>
      </c>
      <c r="I26" s="53" t="s">
        <v>5</v>
      </c>
      <c r="J26" s="53" t="s">
        <v>4</v>
      </c>
      <c r="K26" s="53" t="s">
        <v>3</v>
      </c>
      <c r="L26" s="31"/>
      <c r="M26" s="32"/>
      <c r="O26" s="23">
        <v>2018</v>
      </c>
    </row>
    <row r="27" spans="2:15" x14ac:dyDescent="0.3">
      <c r="B27" s="39" t="s">
        <v>181</v>
      </c>
      <c r="C27" s="40" t="s">
        <v>54</v>
      </c>
      <c r="D27" s="67">
        <v>14</v>
      </c>
      <c r="E27" s="36">
        <v>6</v>
      </c>
      <c r="F27" s="36">
        <v>2013</v>
      </c>
      <c r="G27" s="36">
        <f>O45-F27</f>
        <v>5</v>
      </c>
      <c r="H27" s="36" t="s">
        <v>11</v>
      </c>
      <c r="I27" s="11" t="s">
        <v>393</v>
      </c>
      <c r="J27" s="37">
        <v>2018</v>
      </c>
      <c r="K27" s="37" t="s">
        <v>249</v>
      </c>
      <c r="L27" s="31"/>
      <c r="M27" s="32"/>
      <c r="O27" s="23">
        <v>2018</v>
      </c>
    </row>
    <row r="28" spans="2:15" x14ac:dyDescent="0.3">
      <c r="B28" s="39" t="s">
        <v>185</v>
      </c>
      <c r="C28" s="40" t="s">
        <v>179</v>
      </c>
      <c r="D28" s="67">
        <v>27</v>
      </c>
      <c r="E28" s="36">
        <v>10</v>
      </c>
      <c r="F28" s="36">
        <v>2012</v>
      </c>
      <c r="G28" s="36">
        <f t="shared" ref="G28:G31" si="3">O28-F28</f>
        <v>6</v>
      </c>
      <c r="H28" s="36" t="s">
        <v>11</v>
      </c>
      <c r="I28" s="11" t="s">
        <v>393</v>
      </c>
      <c r="J28" s="37">
        <v>2018</v>
      </c>
      <c r="K28" s="37" t="s">
        <v>249</v>
      </c>
      <c r="L28" s="31"/>
      <c r="M28" s="32"/>
      <c r="O28" s="23">
        <v>2018</v>
      </c>
    </row>
    <row r="29" spans="2:15" x14ac:dyDescent="0.3">
      <c r="B29" s="39" t="s">
        <v>186</v>
      </c>
      <c r="C29" s="40" t="s">
        <v>41</v>
      </c>
      <c r="D29" s="67">
        <v>3</v>
      </c>
      <c r="E29" s="36">
        <v>2</v>
      </c>
      <c r="F29" s="36">
        <v>2012</v>
      </c>
      <c r="G29" s="36">
        <f t="shared" si="3"/>
        <v>6</v>
      </c>
      <c r="H29" s="36" t="s">
        <v>11</v>
      </c>
      <c r="I29" s="11" t="s">
        <v>393</v>
      </c>
      <c r="J29" s="37">
        <v>2018</v>
      </c>
      <c r="K29" s="37" t="s">
        <v>24</v>
      </c>
      <c r="L29" s="2"/>
      <c r="M29" s="2"/>
      <c r="O29" s="23">
        <v>2018</v>
      </c>
    </row>
    <row r="30" spans="2:15" x14ac:dyDescent="0.3">
      <c r="B30" s="39" t="s">
        <v>185</v>
      </c>
      <c r="C30" s="40" t="s">
        <v>188</v>
      </c>
      <c r="D30" s="67">
        <v>11</v>
      </c>
      <c r="E30" s="36">
        <v>7</v>
      </c>
      <c r="F30" s="36">
        <v>2011</v>
      </c>
      <c r="G30" s="36">
        <f t="shared" si="3"/>
        <v>7</v>
      </c>
      <c r="H30" s="36" t="s">
        <v>11</v>
      </c>
      <c r="I30" s="11" t="s">
        <v>393</v>
      </c>
      <c r="J30" s="37">
        <v>2018</v>
      </c>
      <c r="K30" s="37" t="s">
        <v>24</v>
      </c>
      <c r="L30" s="2"/>
      <c r="M30" s="2"/>
      <c r="O30" s="23">
        <v>2018</v>
      </c>
    </row>
    <row r="31" spans="2:15" x14ac:dyDescent="0.3">
      <c r="B31" s="17" t="s">
        <v>164</v>
      </c>
      <c r="C31" s="48" t="s">
        <v>165</v>
      </c>
      <c r="D31" s="19">
        <v>5</v>
      </c>
      <c r="E31" s="19">
        <v>1</v>
      </c>
      <c r="F31" s="19">
        <v>2010</v>
      </c>
      <c r="G31" s="18">
        <f t="shared" si="3"/>
        <v>8</v>
      </c>
      <c r="H31" s="18" t="s">
        <v>11</v>
      </c>
      <c r="I31" s="11" t="s">
        <v>393</v>
      </c>
      <c r="J31" s="37">
        <v>2018</v>
      </c>
      <c r="K31" s="143" t="s">
        <v>170</v>
      </c>
      <c r="L31" s="2"/>
      <c r="M31" s="2"/>
      <c r="O31" s="23">
        <v>2018</v>
      </c>
    </row>
    <row r="32" spans="2:15" ht="12.75" customHeight="1" x14ac:dyDescent="0.3">
      <c r="O32" s="23">
        <v>2018</v>
      </c>
    </row>
    <row r="33" spans="2:15" s="144" customFormat="1" ht="12.75" customHeight="1" x14ac:dyDescent="0.3">
      <c r="K33" s="50"/>
      <c r="L33" s="50"/>
      <c r="M33" s="50"/>
      <c r="N33" s="23"/>
      <c r="O33" s="23">
        <v>2018</v>
      </c>
    </row>
    <row r="34" spans="2:15" s="144" customFormat="1" x14ac:dyDescent="0.3">
      <c r="B34" s="81" t="s">
        <v>228</v>
      </c>
      <c r="D34" s="80" t="s">
        <v>401</v>
      </c>
      <c r="K34" s="50"/>
      <c r="L34" s="50"/>
      <c r="M34" s="50"/>
      <c r="N34" s="23"/>
      <c r="O34" s="23">
        <v>2018</v>
      </c>
    </row>
    <row r="35" spans="2:15" x14ac:dyDescent="0.3">
      <c r="B35" s="81" t="s">
        <v>229</v>
      </c>
      <c r="D35" s="80" t="s">
        <v>227</v>
      </c>
      <c r="O35" s="23">
        <v>2018</v>
      </c>
    </row>
    <row r="36" spans="2:15" x14ac:dyDescent="0.3">
      <c r="B36" s="81"/>
      <c r="D36" s="79" t="s">
        <v>226</v>
      </c>
      <c r="O36" s="23">
        <v>2018</v>
      </c>
    </row>
    <row r="37" spans="2:15" x14ac:dyDescent="0.3">
      <c r="O37" s="23">
        <v>2018</v>
      </c>
    </row>
    <row r="38" spans="2:15" x14ac:dyDescent="0.3">
      <c r="O38" s="23">
        <v>2018</v>
      </c>
    </row>
    <row r="39" spans="2:15" x14ac:dyDescent="0.3">
      <c r="O39" s="23">
        <v>2018</v>
      </c>
    </row>
    <row r="40" spans="2:15" x14ac:dyDescent="0.3">
      <c r="O40" s="23">
        <v>2018</v>
      </c>
    </row>
    <row r="41" spans="2:15" x14ac:dyDescent="0.3">
      <c r="O41" s="23">
        <v>2018</v>
      </c>
    </row>
    <row r="42" spans="2:15" x14ac:dyDescent="0.3">
      <c r="O42" s="23">
        <v>2018</v>
      </c>
    </row>
    <row r="43" spans="2:15" x14ac:dyDescent="0.3">
      <c r="O43" s="23">
        <v>2018</v>
      </c>
    </row>
    <row r="44" spans="2:15" ht="12.75" customHeight="1" x14ac:dyDescent="0.3">
      <c r="K44" s="21"/>
      <c r="L44" s="21"/>
      <c r="M44" s="21"/>
      <c r="O44" s="23">
        <v>2018</v>
      </c>
    </row>
    <row r="45" spans="2:15" ht="12.75" customHeight="1" x14ac:dyDescent="0.3">
      <c r="K45" s="21"/>
      <c r="L45" s="21"/>
      <c r="M45" s="21"/>
      <c r="O45" s="23">
        <v>2018</v>
      </c>
    </row>
    <row r="46" spans="2:15" ht="12.75" customHeight="1" x14ac:dyDescent="0.3">
      <c r="K46" s="21"/>
      <c r="L46" s="21"/>
      <c r="M46" s="21"/>
      <c r="O46" s="23">
        <v>2018</v>
      </c>
    </row>
    <row r="47" spans="2:15" x14ac:dyDescent="0.3">
      <c r="K47" s="21"/>
      <c r="L47" s="21"/>
      <c r="M47" s="21"/>
      <c r="O47" s="23">
        <v>2018</v>
      </c>
    </row>
    <row r="48" spans="2:15" x14ac:dyDescent="0.3">
      <c r="K48" s="21"/>
      <c r="L48" s="21"/>
      <c r="M48" s="21"/>
      <c r="O48" s="23">
        <v>2018</v>
      </c>
    </row>
    <row r="49" spans="11:15" x14ac:dyDescent="0.3">
      <c r="K49" s="21"/>
      <c r="L49" s="21"/>
      <c r="M49" s="21"/>
      <c r="O49" s="23">
        <v>2018</v>
      </c>
    </row>
    <row r="50" spans="11:15" x14ac:dyDescent="0.3">
      <c r="K50" s="21"/>
      <c r="L50" s="21"/>
      <c r="M50" s="21"/>
      <c r="O50" s="23">
        <v>2018</v>
      </c>
    </row>
    <row r="51" spans="11:15" x14ac:dyDescent="0.3">
      <c r="K51" s="21"/>
      <c r="L51" s="21"/>
      <c r="M51" s="21"/>
      <c r="O51" s="23">
        <v>2018</v>
      </c>
    </row>
    <row r="52" spans="11:15" x14ac:dyDescent="0.3">
      <c r="K52" s="21"/>
      <c r="L52" s="21"/>
      <c r="M52" s="21"/>
      <c r="O52" s="23">
        <v>2018</v>
      </c>
    </row>
    <row r="53" spans="11:15" x14ac:dyDescent="0.3">
      <c r="O53" s="23">
        <v>2018</v>
      </c>
    </row>
    <row r="54" spans="11:15" x14ac:dyDescent="0.3">
      <c r="O54" s="23">
        <v>2018</v>
      </c>
    </row>
    <row r="55" spans="11:15" x14ac:dyDescent="0.3">
      <c r="O55" s="23">
        <v>2018</v>
      </c>
    </row>
    <row r="56" spans="11:15" x14ac:dyDescent="0.3">
      <c r="O56" s="23">
        <v>2018</v>
      </c>
    </row>
    <row r="57" spans="11:15" x14ac:dyDescent="0.3">
      <c r="O57" s="23">
        <v>2018</v>
      </c>
    </row>
    <row r="58" spans="11:15" x14ac:dyDescent="0.3">
      <c r="O58" s="23">
        <v>2018</v>
      </c>
    </row>
    <row r="59" spans="11:15" x14ac:dyDescent="0.3">
      <c r="O59" s="23">
        <v>2018</v>
      </c>
    </row>
    <row r="60" spans="11:15" x14ac:dyDescent="0.3">
      <c r="O60" s="23">
        <v>2018</v>
      </c>
    </row>
    <row r="61" spans="11:15" x14ac:dyDescent="0.3">
      <c r="O61" s="23">
        <v>2018</v>
      </c>
    </row>
    <row r="62" spans="11:15" x14ac:dyDescent="0.3">
      <c r="O62" s="23">
        <v>2018</v>
      </c>
    </row>
    <row r="63" spans="11:15" x14ac:dyDescent="0.3">
      <c r="O63" s="23">
        <v>2018</v>
      </c>
    </row>
    <row r="64" spans="11:15" x14ac:dyDescent="0.3">
      <c r="O64" s="23">
        <v>2018</v>
      </c>
    </row>
    <row r="65" spans="15:15" x14ac:dyDescent="0.3">
      <c r="O65" s="23">
        <v>2018</v>
      </c>
    </row>
    <row r="66" spans="15:15" x14ac:dyDescent="0.3">
      <c r="O66" s="23">
        <v>2018</v>
      </c>
    </row>
    <row r="67" spans="15:15" x14ac:dyDescent="0.3">
      <c r="O67" s="23">
        <v>2018</v>
      </c>
    </row>
    <row r="68" spans="15:15" x14ac:dyDescent="0.3">
      <c r="O68" s="23">
        <v>2018</v>
      </c>
    </row>
    <row r="69" spans="15:15" x14ac:dyDescent="0.3">
      <c r="O69" s="23">
        <v>2018</v>
      </c>
    </row>
    <row r="70" spans="15:15" x14ac:dyDescent="0.3">
      <c r="O70" s="23">
        <v>2018</v>
      </c>
    </row>
    <row r="71" spans="15:15" x14ac:dyDescent="0.3">
      <c r="O71" s="23">
        <v>2018</v>
      </c>
    </row>
    <row r="72" spans="15:15" x14ac:dyDescent="0.3">
      <c r="O72" s="23">
        <v>2018</v>
      </c>
    </row>
    <row r="73" spans="15:15" x14ac:dyDescent="0.3">
      <c r="O73" s="23">
        <v>2018</v>
      </c>
    </row>
    <row r="74" spans="15:15" x14ac:dyDescent="0.3">
      <c r="O74" s="23">
        <v>2018</v>
      </c>
    </row>
    <row r="75" spans="15:15" x14ac:dyDescent="0.3">
      <c r="O75" s="23">
        <v>2018</v>
      </c>
    </row>
    <row r="76" spans="15:15" x14ac:dyDescent="0.3">
      <c r="O76" s="23">
        <v>2018</v>
      </c>
    </row>
    <row r="77" spans="15:15" x14ac:dyDescent="0.3">
      <c r="O77" s="23">
        <v>2018</v>
      </c>
    </row>
    <row r="78" spans="15:15" x14ac:dyDescent="0.3">
      <c r="O78" s="23">
        <v>2018</v>
      </c>
    </row>
    <row r="79" spans="15:15" x14ac:dyDescent="0.3">
      <c r="O79" s="23">
        <v>2018</v>
      </c>
    </row>
    <row r="80" spans="15:15" x14ac:dyDescent="0.3">
      <c r="O80" s="23">
        <v>2018</v>
      </c>
    </row>
    <row r="81" spans="15:15" x14ac:dyDescent="0.3">
      <c r="O81" s="23">
        <v>2018</v>
      </c>
    </row>
    <row r="82" spans="15:15" x14ac:dyDescent="0.3">
      <c r="O82" s="23">
        <v>2018</v>
      </c>
    </row>
    <row r="83" spans="15:15" x14ac:dyDescent="0.3">
      <c r="O83" s="23">
        <v>2018</v>
      </c>
    </row>
    <row r="84" spans="15:15" x14ac:dyDescent="0.3">
      <c r="O84" s="23">
        <v>2018</v>
      </c>
    </row>
  </sheetData>
  <sheetProtection algorithmName="SHA-512" hashValue="obYcua1SD5nVio3f666PVowQDa71/7/ILb+ARMTqaqOsCvUh/nkoqNc1s2GArmN89rhIFxPmBWvHiqdIzZYAnw==" saltValue="guoEQh15/zTjtGej3mvBFw==" spinCount="100000" sheet="1" objects="1" scenarios="1"/>
  <sortState ref="B17:I17">
    <sortCondition descending="1" ref="B16"/>
  </sortState>
  <mergeCells count="11">
    <mergeCell ref="M13:M14"/>
    <mergeCell ref="M21:M22"/>
    <mergeCell ref="M15:M20"/>
    <mergeCell ref="I4:J4"/>
    <mergeCell ref="D6:F6"/>
    <mergeCell ref="D12:F12"/>
    <mergeCell ref="D26:F26"/>
    <mergeCell ref="L21:L22"/>
    <mergeCell ref="L15:L16"/>
    <mergeCell ref="L17:L19"/>
    <mergeCell ref="L13:L14"/>
  </mergeCells>
  <pageMargins left="0" right="0" top="0" bottom="0" header="0" footer="0"/>
  <pageSetup paperSize="9" scale="90" orientation="landscape" r:id="rId1"/>
  <ignoredErrors>
    <ignoredError sqref="G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7"/>
  <sheetViews>
    <sheetView workbookViewId="0"/>
  </sheetViews>
  <sheetFormatPr baseColWidth="10" defaultColWidth="11.44140625" defaultRowHeight="14.4" x14ac:dyDescent="0.3"/>
  <cols>
    <col min="1" max="1" width="1" style="22" customWidth="1"/>
    <col min="2" max="2" width="13.88671875" style="20" customWidth="1"/>
    <col min="3" max="3" width="9.88671875" style="20" customWidth="1"/>
    <col min="4" max="5" width="3" style="21" customWidth="1"/>
    <col min="6" max="6" width="5" style="21" bestFit="1" customWidth="1"/>
    <col min="7" max="7" width="12.44140625" style="21" bestFit="1" customWidth="1"/>
    <col min="8" max="8" width="14.6640625" style="21" bestFit="1" customWidth="1"/>
    <col min="9" max="9" width="15.33203125" style="21" bestFit="1" customWidth="1"/>
    <col min="10" max="10" width="14.44140625" style="21" bestFit="1" customWidth="1"/>
    <col min="11" max="11" width="27.6640625" style="21" bestFit="1" customWidth="1"/>
    <col min="12" max="12" width="5.6640625" style="21" customWidth="1"/>
    <col min="13" max="13" width="27.6640625" style="21" customWidth="1"/>
    <col min="14" max="14" width="11.44140625" style="23" customWidth="1"/>
    <col min="15" max="15" width="19.88671875" style="23" hidden="1" customWidth="1"/>
    <col min="16" max="16" width="25.6640625" style="22" customWidth="1"/>
    <col min="17" max="16384" width="11.44140625" style="22"/>
  </cols>
  <sheetData>
    <row r="1" spans="2:15" x14ac:dyDescent="0.3">
      <c r="O1" s="23">
        <v>2018</v>
      </c>
    </row>
    <row r="2" spans="2:15" x14ac:dyDescent="0.3">
      <c r="B2" s="24" t="s">
        <v>6</v>
      </c>
      <c r="C2" s="25"/>
      <c r="D2" s="78" t="s">
        <v>230</v>
      </c>
      <c r="E2" s="26"/>
      <c r="F2" s="26"/>
      <c r="G2" t="s">
        <v>276</v>
      </c>
      <c r="H2" s="82"/>
      <c r="K2" s="26"/>
      <c r="L2" s="24" t="s">
        <v>416</v>
      </c>
      <c r="M2" s="26"/>
      <c r="O2" s="23">
        <v>2018</v>
      </c>
    </row>
    <row r="3" spans="2:15" x14ac:dyDescent="0.3">
      <c r="B3" s="27"/>
      <c r="C3" s="25"/>
      <c r="D3" s="26"/>
      <c r="E3" s="26"/>
      <c r="F3" s="26"/>
      <c r="G3" s="26"/>
      <c r="H3" s="26"/>
      <c r="K3" s="26"/>
      <c r="L3" s="26"/>
      <c r="M3" s="26"/>
      <c r="O3" s="23">
        <v>2018</v>
      </c>
    </row>
    <row r="4" spans="2:15" x14ac:dyDescent="0.3">
      <c r="B4" s="24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O4" s="23">
        <v>2018</v>
      </c>
    </row>
    <row r="5" spans="2:15" x14ac:dyDescent="0.3">
      <c r="B5" s="24" t="s">
        <v>189</v>
      </c>
      <c r="C5" s="25"/>
      <c r="D5" s="26"/>
      <c r="E5" s="26"/>
      <c r="F5" s="26"/>
      <c r="G5" s="26"/>
      <c r="H5" s="26"/>
      <c r="I5" s="26"/>
      <c r="J5" s="24"/>
      <c r="K5" s="26"/>
      <c r="L5" s="26"/>
      <c r="M5" s="26"/>
      <c r="O5" s="23">
        <v>2018</v>
      </c>
    </row>
    <row r="6" spans="2:15" s="32" customFormat="1" x14ac:dyDescent="0.3">
      <c r="B6" s="28" t="s">
        <v>0</v>
      </c>
      <c r="C6" s="29" t="s">
        <v>1</v>
      </c>
      <c r="D6" s="227" t="s">
        <v>2</v>
      </c>
      <c r="E6" s="227"/>
      <c r="F6" s="227"/>
      <c r="G6" s="30" t="s">
        <v>251</v>
      </c>
      <c r="H6" s="53" t="s">
        <v>7</v>
      </c>
      <c r="I6" s="53" t="s">
        <v>5</v>
      </c>
      <c r="J6" s="53" t="s">
        <v>4</v>
      </c>
      <c r="K6" s="53" t="s">
        <v>3</v>
      </c>
      <c r="L6" s="31"/>
      <c r="O6" s="23">
        <v>2018</v>
      </c>
    </row>
    <row r="7" spans="2:15" x14ac:dyDescent="0.3">
      <c r="B7" s="146" t="s">
        <v>39</v>
      </c>
      <c r="C7" s="147" t="s">
        <v>61</v>
      </c>
      <c r="D7" s="145">
        <v>14</v>
      </c>
      <c r="E7" s="145">
        <v>1</v>
      </c>
      <c r="F7" s="145">
        <v>2017</v>
      </c>
      <c r="G7" s="145">
        <f>O7-F7</f>
        <v>1</v>
      </c>
      <c r="H7" s="145" t="s">
        <v>18</v>
      </c>
      <c r="I7" s="145" t="s">
        <v>26</v>
      </c>
      <c r="J7" s="145">
        <v>2021</v>
      </c>
      <c r="K7" s="145" t="s">
        <v>12</v>
      </c>
      <c r="L7" s="38"/>
      <c r="M7" s="144"/>
      <c r="O7" s="23">
        <v>2018</v>
      </c>
    </row>
    <row r="8" spans="2:15" x14ac:dyDescent="0.3">
      <c r="B8" s="39" t="s">
        <v>8</v>
      </c>
      <c r="C8" s="40" t="s">
        <v>21</v>
      </c>
      <c r="D8" s="36">
        <v>1</v>
      </c>
      <c r="E8" s="36">
        <v>4</v>
      </c>
      <c r="F8" s="36">
        <v>2015</v>
      </c>
      <c r="G8" s="36">
        <f>O8-F8</f>
        <v>3</v>
      </c>
      <c r="H8" s="36" t="s">
        <v>18</v>
      </c>
      <c r="I8" s="36" t="s">
        <v>23</v>
      </c>
      <c r="J8" s="36">
        <v>2019</v>
      </c>
      <c r="K8" s="36" t="s">
        <v>12</v>
      </c>
      <c r="L8" s="38"/>
      <c r="O8" s="23">
        <v>2018</v>
      </c>
    </row>
    <row r="9" spans="2:15" x14ac:dyDescent="0.3">
      <c r="B9" s="39" t="s">
        <v>266</v>
      </c>
      <c r="C9" s="40" t="s">
        <v>21</v>
      </c>
      <c r="D9" s="36">
        <v>9</v>
      </c>
      <c r="E9" s="36">
        <v>10</v>
      </c>
      <c r="F9" s="36">
        <v>2014</v>
      </c>
      <c r="G9" s="36">
        <f t="shared" ref="G9" si="0">O9-F9</f>
        <v>4</v>
      </c>
      <c r="H9" s="36" t="s">
        <v>11</v>
      </c>
      <c r="I9" s="153" t="s">
        <v>43</v>
      </c>
      <c r="J9" s="36">
        <v>2019</v>
      </c>
      <c r="K9" s="36" t="s">
        <v>12</v>
      </c>
      <c r="L9" s="38"/>
      <c r="O9" s="23">
        <v>2018</v>
      </c>
    </row>
    <row r="10" spans="2:15" x14ac:dyDescent="0.3">
      <c r="L10" s="38"/>
      <c r="O10" s="23">
        <v>2018</v>
      </c>
    </row>
    <row r="11" spans="2:15" x14ac:dyDescent="0.3">
      <c r="O11" s="23">
        <v>2018</v>
      </c>
    </row>
    <row r="12" spans="2:15" x14ac:dyDescent="0.3">
      <c r="B12" s="24" t="s">
        <v>378</v>
      </c>
      <c r="C12" s="25"/>
      <c r="D12" s="26"/>
      <c r="E12" s="26"/>
      <c r="F12" s="26"/>
      <c r="G12" s="26"/>
      <c r="H12" s="26"/>
      <c r="I12" s="26"/>
      <c r="J12" s="24"/>
      <c r="K12" s="26"/>
      <c r="L12" s="26"/>
      <c r="M12" s="26"/>
      <c r="O12" s="23">
        <v>2018</v>
      </c>
    </row>
    <row r="13" spans="2:15" x14ac:dyDescent="0.3">
      <c r="B13" s="28" t="s">
        <v>0</v>
      </c>
      <c r="C13" s="29" t="s">
        <v>1</v>
      </c>
      <c r="D13" s="227" t="s">
        <v>2</v>
      </c>
      <c r="E13" s="227"/>
      <c r="F13" s="227"/>
      <c r="G13" s="30" t="s">
        <v>251</v>
      </c>
      <c r="H13" s="53" t="s">
        <v>7</v>
      </c>
      <c r="I13" s="53" t="s">
        <v>5</v>
      </c>
      <c r="J13" s="53" t="s">
        <v>4</v>
      </c>
      <c r="K13" s="53" t="s">
        <v>3</v>
      </c>
      <c r="L13" s="53" t="s">
        <v>174</v>
      </c>
      <c r="M13" s="53" t="s">
        <v>172</v>
      </c>
      <c r="O13" s="23">
        <v>2018</v>
      </c>
    </row>
    <row r="14" spans="2:15" ht="15" customHeight="1" x14ac:dyDescent="0.3">
      <c r="B14" s="39" t="s">
        <v>16</v>
      </c>
      <c r="C14" s="40" t="s">
        <v>17</v>
      </c>
      <c r="D14" s="36">
        <v>15</v>
      </c>
      <c r="E14" s="36">
        <v>2</v>
      </c>
      <c r="F14" s="36">
        <v>2013</v>
      </c>
      <c r="G14" s="36">
        <f t="shared" ref="G14:G16" si="1">O14-F14</f>
        <v>5</v>
      </c>
      <c r="H14" s="36" t="s">
        <v>18</v>
      </c>
      <c r="I14" s="36" t="s">
        <v>26</v>
      </c>
      <c r="J14" s="36">
        <v>2018</v>
      </c>
      <c r="K14" s="36" t="s">
        <v>252</v>
      </c>
      <c r="L14" s="104">
        <v>1</v>
      </c>
      <c r="M14" s="103" t="s">
        <v>352</v>
      </c>
      <c r="O14" s="23">
        <v>2018</v>
      </c>
    </row>
    <row r="15" spans="2:15" ht="15" customHeight="1" x14ac:dyDescent="0.3">
      <c r="B15" s="14" t="s">
        <v>38</v>
      </c>
      <c r="C15" s="40" t="s">
        <v>33</v>
      </c>
      <c r="D15" s="10">
        <v>12</v>
      </c>
      <c r="E15" s="36">
        <v>3</v>
      </c>
      <c r="F15" s="36">
        <v>2011</v>
      </c>
      <c r="G15" s="36">
        <f t="shared" si="1"/>
        <v>7</v>
      </c>
      <c r="H15" s="36" t="s">
        <v>15</v>
      </c>
      <c r="I15" s="11" t="s">
        <v>151</v>
      </c>
      <c r="J15" s="145">
        <v>2018</v>
      </c>
      <c r="K15" s="143" t="s">
        <v>25</v>
      </c>
      <c r="L15" s="238">
        <v>3</v>
      </c>
      <c r="M15" s="238" t="s">
        <v>265</v>
      </c>
      <c r="O15" s="23">
        <v>2018</v>
      </c>
    </row>
    <row r="16" spans="2:15" x14ac:dyDescent="0.3">
      <c r="B16" s="14" t="s">
        <v>234</v>
      </c>
      <c r="C16" s="40" t="s">
        <v>107</v>
      </c>
      <c r="D16" s="10">
        <v>8</v>
      </c>
      <c r="E16" s="36">
        <v>7</v>
      </c>
      <c r="F16" s="36">
        <v>2010</v>
      </c>
      <c r="G16" s="36">
        <f t="shared" si="1"/>
        <v>8</v>
      </c>
      <c r="H16" s="36" t="s">
        <v>15</v>
      </c>
      <c r="I16" s="18" t="s">
        <v>424</v>
      </c>
      <c r="J16" s="145">
        <v>2018</v>
      </c>
      <c r="K16" s="143" t="s">
        <v>25</v>
      </c>
      <c r="L16" s="249"/>
      <c r="M16" s="232"/>
      <c r="O16" s="23">
        <v>2018</v>
      </c>
    </row>
    <row r="17" spans="2:15" ht="15" customHeight="1" x14ac:dyDescent="0.3">
      <c r="B17" s="14" t="s">
        <v>167</v>
      </c>
      <c r="C17" s="40" t="s">
        <v>32</v>
      </c>
      <c r="D17" s="10">
        <v>6</v>
      </c>
      <c r="E17" s="36">
        <v>9</v>
      </c>
      <c r="F17" s="36">
        <v>2010</v>
      </c>
      <c r="G17" s="36">
        <f t="shared" ref="G17:G26" si="2">O17-F17</f>
        <v>8</v>
      </c>
      <c r="H17" s="36" t="s">
        <v>18</v>
      </c>
      <c r="I17" s="18" t="s">
        <v>400</v>
      </c>
      <c r="J17" s="145">
        <v>2018</v>
      </c>
      <c r="K17" s="143" t="s">
        <v>25</v>
      </c>
      <c r="L17" s="244"/>
      <c r="M17" s="232"/>
      <c r="O17" s="23">
        <v>2018</v>
      </c>
    </row>
    <row r="18" spans="2:15" x14ac:dyDescent="0.3">
      <c r="B18" s="14" t="s">
        <v>39</v>
      </c>
      <c r="C18" s="40" t="s">
        <v>34</v>
      </c>
      <c r="D18" s="10">
        <v>29</v>
      </c>
      <c r="E18" s="36">
        <v>9</v>
      </c>
      <c r="F18" s="36">
        <v>2009</v>
      </c>
      <c r="G18" s="36">
        <f t="shared" si="2"/>
        <v>9</v>
      </c>
      <c r="H18" s="36" t="s">
        <v>18</v>
      </c>
      <c r="I18" s="11" t="s">
        <v>23</v>
      </c>
      <c r="J18" s="145">
        <v>2018</v>
      </c>
      <c r="K18" s="143" t="s">
        <v>30</v>
      </c>
      <c r="L18" s="238">
        <v>2</v>
      </c>
      <c r="M18" s="232"/>
      <c r="O18" s="23">
        <v>2018</v>
      </c>
    </row>
    <row r="19" spans="2:15" x14ac:dyDescent="0.3">
      <c r="B19" s="14" t="s">
        <v>232</v>
      </c>
      <c r="C19" s="40" t="s">
        <v>120</v>
      </c>
      <c r="D19" s="10">
        <v>2</v>
      </c>
      <c r="E19" s="36">
        <v>9</v>
      </c>
      <c r="F19" s="36">
        <v>2009</v>
      </c>
      <c r="G19" s="36">
        <f t="shared" si="2"/>
        <v>9</v>
      </c>
      <c r="H19" s="36" t="s">
        <v>18</v>
      </c>
      <c r="I19" s="11" t="s">
        <v>23</v>
      </c>
      <c r="J19" s="145">
        <v>2018</v>
      </c>
      <c r="K19" s="143" t="s">
        <v>30</v>
      </c>
      <c r="L19" s="250"/>
      <c r="M19" s="232"/>
      <c r="O19" s="23">
        <v>2018</v>
      </c>
    </row>
    <row r="20" spans="2:15" x14ac:dyDescent="0.3">
      <c r="B20" s="14" t="s">
        <v>40</v>
      </c>
      <c r="C20" s="40" t="s">
        <v>35</v>
      </c>
      <c r="D20" s="10">
        <v>21</v>
      </c>
      <c r="E20" s="36">
        <v>5</v>
      </c>
      <c r="F20" s="36">
        <v>2009</v>
      </c>
      <c r="G20" s="36">
        <f t="shared" si="2"/>
        <v>9</v>
      </c>
      <c r="H20" s="36" t="s">
        <v>18</v>
      </c>
      <c r="I20" s="11" t="s">
        <v>43</v>
      </c>
      <c r="J20" s="145">
        <v>2018</v>
      </c>
      <c r="K20" s="143" t="s">
        <v>27</v>
      </c>
      <c r="L20" s="84">
        <v>1</v>
      </c>
      <c r="M20" s="232"/>
      <c r="O20" s="23">
        <v>2018</v>
      </c>
    </row>
    <row r="21" spans="2:15" x14ac:dyDescent="0.3">
      <c r="B21" s="14" t="s">
        <v>234</v>
      </c>
      <c r="C21" s="40" t="s">
        <v>84</v>
      </c>
      <c r="D21" s="10">
        <v>3</v>
      </c>
      <c r="E21" s="36">
        <v>8</v>
      </c>
      <c r="F21" s="36">
        <v>2007</v>
      </c>
      <c r="G21" s="36">
        <f t="shared" si="2"/>
        <v>11</v>
      </c>
      <c r="H21" s="36" t="s">
        <v>15</v>
      </c>
      <c r="I21" s="18" t="s">
        <v>424</v>
      </c>
      <c r="J21" s="145">
        <v>2018</v>
      </c>
      <c r="K21" s="143" t="s">
        <v>28</v>
      </c>
      <c r="L21" s="238">
        <v>2</v>
      </c>
      <c r="M21" s="248" t="s">
        <v>414</v>
      </c>
      <c r="O21" s="23">
        <v>2018</v>
      </c>
    </row>
    <row r="22" spans="2:15" x14ac:dyDescent="0.3">
      <c r="B22" s="15" t="s">
        <v>41</v>
      </c>
      <c r="C22" s="40" t="s">
        <v>21</v>
      </c>
      <c r="D22" s="12">
        <v>7</v>
      </c>
      <c r="E22" s="36">
        <v>3</v>
      </c>
      <c r="F22" s="36">
        <v>2008</v>
      </c>
      <c r="G22" s="36">
        <f t="shared" ref="G22" si="3">O22-F22</f>
        <v>10</v>
      </c>
      <c r="H22" s="36" t="s">
        <v>18</v>
      </c>
      <c r="I22" s="13" t="s">
        <v>26</v>
      </c>
      <c r="J22" s="145">
        <v>2018</v>
      </c>
      <c r="K22" s="143" t="s">
        <v>28</v>
      </c>
      <c r="L22" s="250"/>
      <c r="M22" s="247"/>
      <c r="O22" s="23">
        <v>2018</v>
      </c>
    </row>
    <row r="23" spans="2:15" x14ac:dyDescent="0.3">
      <c r="B23" s="15" t="s">
        <v>232</v>
      </c>
      <c r="C23" s="40" t="s">
        <v>32</v>
      </c>
      <c r="D23" s="12">
        <v>23</v>
      </c>
      <c r="E23" s="36">
        <v>10</v>
      </c>
      <c r="F23" s="36">
        <v>2006</v>
      </c>
      <c r="G23" s="36">
        <f t="shared" si="2"/>
        <v>12</v>
      </c>
      <c r="H23" s="36" t="s">
        <v>18</v>
      </c>
      <c r="I23" s="11" t="s">
        <v>23</v>
      </c>
      <c r="J23" s="145">
        <v>2018</v>
      </c>
      <c r="K23" s="143" t="s">
        <v>29</v>
      </c>
      <c r="L23" s="84">
        <v>1</v>
      </c>
      <c r="M23" s="102" t="s">
        <v>318</v>
      </c>
      <c r="O23" s="23">
        <v>2018</v>
      </c>
    </row>
    <row r="24" spans="2:15" x14ac:dyDescent="0.3">
      <c r="B24" s="15" t="s">
        <v>42</v>
      </c>
      <c r="C24" s="40" t="s">
        <v>36</v>
      </c>
      <c r="D24" s="12">
        <v>4</v>
      </c>
      <c r="E24" s="36">
        <v>10</v>
      </c>
      <c r="F24" s="36">
        <v>2005</v>
      </c>
      <c r="G24" s="36">
        <f t="shared" si="2"/>
        <v>13</v>
      </c>
      <c r="H24" s="36" t="s">
        <v>18</v>
      </c>
      <c r="I24" s="13" t="s">
        <v>26</v>
      </c>
      <c r="J24" s="145">
        <v>2018</v>
      </c>
      <c r="K24" s="143" t="s">
        <v>31</v>
      </c>
      <c r="L24" s="239">
        <v>2</v>
      </c>
      <c r="M24" s="239" t="s">
        <v>253</v>
      </c>
      <c r="O24" s="23">
        <v>2018</v>
      </c>
    </row>
    <row r="25" spans="2:15" x14ac:dyDescent="0.3">
      <c r="B25" s="15" t="s">
        <v>43</v>
      </c>
      <c r="C25" s="40" t="s">
        <v>20</v>
      </c>
      <c r="D25" s="12">
        <v>9</v>
      </c>
      <c r="E25" s="36">
        <v>9</v>
      </c>
      <c r="F25" s="36">
        <v>2005</v>
      </c>
      <c r="G25" s="36">
        <f t="shared" si="2"/>
        <v>13</v>
      </c>
      <c r="H25" s="36" t="s">
        <v>18</v>
      </c>
      <c r="I25" s="13" t="s">
        <v>167</v>
      </c>
      <c r="J25" s="145">
        <v>2018</v>
      </c>
      <c r="K25" s="143" t="s">
        <v>31</v>
      </c>
      <c r="L25" s="239"/>
      <c r="M25" s="239"/>
      <c r="O25" s="23">
        <v>2018</v>
      </c>
    </row>
    <row r="26" spans="2:15" ht="12.75" customHeight="1" x14ac:dyDescent="0.3">
      <c r="B26" s="15" t="s">
        <v>39</v>
      </c>
      <c r="C26" s="40" t="s">
        <v>37</v>
      </c>
      <c r="D26" s="12">
        <v>16</v>
      </c>
      <c r="E26" s="36">
        <v>3</v>
      </c>
      <c r="F26" s="36">
        <v>2005</v>
      </c>
      <c r="G26" s="36">
        <f t="shared" si="2"/>
        <v>13</v>
      </c>
      <c r="H26" s="36" t="s">
        <v>18</v>
      </c>
      <c r="I26" s="13" t="s">
        <v>23</v>
      </c>
      <c r="J26" s="145">
        <v>2018</v>
      </c>
      <c r="K26" s="143" t="s">
        <v>44</v>
      </c>
      <c r="L26" s="84">
        <v>1</v>
      </c>
      <c r="M26" s="102" t="s">
        <v>415</v>
      </c>
      <c r="O26" s="23">
        <v>2018</v>
      </c>
    </row>
    <row r="27" spans="2:15" x14ac:dyDescent="0.3">
      <c r="O27" s="23">
        <v>2018</v>
      </c>
    </row>
    <row r="28" spans="2:15" x14ac:dyDescent="0.3">
      <c r="O28" s="23">
        <v>2018</v>
      </c>
    </row>
    <row r="29" spans="2:15" x14ac:dyDescent="0.3">
      <c r="B29" s="24" t="s">
        <v>377</v>
      </c>
      <c r="O29" s="23">
        <v>2018</v>
      </c>
    </row>
    <row r="30" spans="2:15" x14ac:dyDescent="0.3">
      <c r="B30" s="28" t="s">
        <v>0</v>
      </c>
      <c r="C30" s="29" t="s">
        <v>1</v>
      </c>
      <c r="D30" s="227" t="s">
        <v>2</v>
      </c>
      <c r="E30" s="227"/>
      <c r="F30" s="227"/>
      <c r="G30" s="30" t="s">
        <v>251</v>
      </c>
      <c r="H30" s="53" t="s">
        <v>7</v>
      </c>
      <c r="I30" s="53" t="s">
        <v>5</v>
      </c>
      <c r="J30" s="53" t="s">
        <v>4</v>
      </c>
      <c r="K30" s="53" t="s">
        <v>3</v>
      </c>
      <c r="L30" s="31"/>
      <c r="M30" s="32"/>
      <c r="O30" s="23">
        <v>2018</v>
      </c>
    </row>
    <row r="31" spans="2:15" s="144" customFormat="1" ht="12.75" customHeight="1" x14ac:dyDescent="0.3">
      <c r="B31" s="39" t="s">
        <v>19</v>
      </c>
      <c r="C31" s="40" t="s">
        <v>20</v>
      </c>
      <c r="D31" s="36">
        <v>3</v>
      </c>
      <c r="E31" s="36">
        <v>11</v>
      </c>
      <c r="F31" s="36">
        <v>2013</v>
      </c>
      <c r="G31" s="36">
        <f>O10-F31</f>
        <v>5</v>
      </c>
      <c r="H31" s="36" t="s">
        <v>11</v>
      </c>
      <c r="I31" s="18" t="s">
        <v>202</v>
      </c>
      <c r="J31" s="36">
        <v>2018</v>
      </c>
      <c r="K31" s="36" t="s">
        <v>12</v>
      </c>
      <c r="L31" s="38"/>
      <c r="N31" s="165"/>
      <c r="O31" s="23">
        <v>2018</v>
      </c>
    </row>
    <row r="32" spans="2:15" x14ac:dyDescent="0.3">
      <c r="B32" s="39" t="s">
        <v>13</v>
      </c>
      <c r="C32" s="40" t="s">
        <v>14</v>
      </c>
      <c r="D32" s="6">
        <v>15</v>
      </c>
      <c r="E32" s="6">
        <v>7</v>
      </c>
      <c r="F32" s="6">
        <v>2012</v>
      </c>
      <c r="G32" s="6">
        <f t="shared" ref="G32" si="4">O32-F32</f>
        <v>6</v>
      </c>
      <c r="H32" s="6" t="s">
        <v>15</v>
      </c>
      <c r="I32" s="6" t="s">
        <v>202</v>
      </c>
      <c r="J32" s="145">
        <v>2018</v>
      </c>
      <c r="K32" s="6" t="s">
        <v>252</v>
      </c>
      <c r="L32" s="31"/>
      <c r="M32" s="32"/>
      <c r="O32" s="23">
        <v>2018</v>
      </c>
    </row>
    <row r="33" spans="2:15" x14ac:dyDescent="0.3">
      <c r="B33" s="39" t="s">
        <v>9</v>
      </c>
      <c r="C33" s="40" t="s">
        <v>10</v>
      </c>
      <c r="D33" s="36">
        <v>4</v>
      </c>
      <c r="E33" s="36">
        <v>10</v>
      </c>
      <c r="F33" s="36">
        <v>2011</v>
      </c>
      <c r="G33" s="36">
        <f t="shared" ref="G33" si="5">O33-F33</f>
        <v>7</v>
      </c>
      <c r="H33" s="36" t="s">
        <v>11</v>
      </c>
      <c r="I33" s="36" t="s">
        <v>26</v>
      </c>
      <c r="J33" s="145">
        <v>2018</v>
      </c>
      <c r="K33" s="6" t="s">
        <v>380</v>
      </c>
      <c r="L33" s="2"/>
      <c r="M33" s="50"/>
      <c r="O33" s="23">
        <v>2018</v>
      </c>
    </row>
    <row r="34" spans="2:15" x14ac:dyDescent="0.3">
      <c r="O34" s="23">
        <v>2018</v>
      </c>
    </row>
    <row r="35" spans="2:15" s="144" customFormat="1" x14ac:dyDescent="0.3">
      <c r="B35" s="81" t="s">
        <v>228</v>
      </c>
      <c r="D35" s="80" t="s">
        <v>401</v>
      </c>
      <c r="K35" s="50"/>
      <c r="L35" s="50"/>
      <c r="M35" s="50"/>
      <c r="N35" s="23"/>
      <c r="O35" s="23">
        <v>2018</v>
      </c>
    </row>
    <row r="36" spans="2:15" x14ac:dyDescent="0.3">
      <c r="B36" s="81" t="s">
        <v>229</v>
      </c>
      <c r="C36" s="21"/>
      <c r="D36" s="80" t="s">
        <v>227</v>
      </c>
      <c r="O36" s="23">
        <v>2018</v>
      </c>
    </row>
    <row r="37" spans="2:15" x14ac:dyDescent="0.3">
      <c r="B37" s="81"/>
      <c r="C37" s="21"/>
      <c r="D37" s="79" t="s">
        <v>226</v>
      </c>
      <c r="O37" s="23">
        <v>2018</v>
      </c>
    </row>
    <row r="38" spans="2:15" x14ac:dyDescent="0.3">
      <c r="O38" s="23">
        <v>2018</v>
      </c>
    </row>
    <row r="39" spans="2:15" x14ac:dyDescent="0.3">
      <c r="O39" s="23">
        <v>2018</v>
      </c>
    </row>
    <row r="40" spans="2:15" x14ac:dyDescent="0.3">
      <c r="O40" s="23">
        <v>2018</v>
      </c>
    </row>
    <row r="41" spans="2:15" x14ac:dyDescent="0.3">
      <c r="O41" s="23">
        <v>2018</v>
      </c>
    </row>
    <row r="42" spans="2:15" x14ac:dyDescent="0.3">
      <c r="O42" s="23">
        <v>2018</v>
      </c>
    </row>
    <row r="43" spans="2:15" x14ac:dyDescent="0.3">
      <c r="O43" s="23">
        <v>2018</v>
      </c>
    </row>
    <row r="44" spans="2:15" x14ac:dyDescent="0.3">
      <c r="O44" s="23">
        <v>2018</v>
      </c>
    </row>
    <row r="45" spans="2:15" x14ac:dyDescent="0.3">
      <c r="O45" s="23">
        <v>2018</v>
      </c>
    </row>
    <row r="46" spans="2:15" x14ac:dyDescent="0.3">
      <c r="O46" s="23">
        <v>2018</v>
      </c>
    </row>
    <row r="47" spans="2:15" x14ac:dyDescent="0.3">
      <c r="O47" s="23">
        <v>2018</v>
      </c>
    </row>
    <row r="48" spans="2:15" x14ac:dyDescent="0.3">
      <c r="O48" s="23">
        <v>2018</v>
      </c>
    </row>
    <row r="49" spans="15:15" x14ac:dyDescent="0.3">
      <c r="O49" s="23">
        <v>2018</v>
      </c>
    </row>
    <row r="50" spans="15:15" x14ac:dyDescent="0.3">
      <c r="O50" s="23">
        <v>2018</v>
      </c>
    </row>
    <row r="51" spans="15:15" x14ac:dyDescent="0.3">
      <c r="O51" s="23">
        <v>2018</v>
      </c>
    </row>
    <row r="52" spans="15:15" x14ac:dyDescent="0.3">
      <c r="O52" s="23">
        <v>2018</v>
      </c>
    </row>
    <row r="53" spans="15:15" x14ac:dyDescent="0.3">
      <c r="O53" s="23">
        <v>2018</v>
      </c>
    </row>
    <row r="54" spans="15:15" x14ac:dyDescent="0.3">
      <c r="O54" s="23">
        <v>2018</v>
      </c>
    </row>
    <row r="55" spans="15:15" x14ac:dyDescent="0.3">
      <c r="O55" s="23">
        <v>2018</v>
      </c>
    </row>
    <row r="56" spans="15:15" x14ac:dyDescent="0.3">
      <c r="O56" s="23">
        <v>2018</v>
      </c>
    </row>
    <row r="57" spans="15:15" x14ac:dyDescent="0.3">
      <c r="O57" s="23">
        <v>2018</v>
      </c>
    </row>
    <row r="58" spans="15:15" x14ac:dyDescent="0.3">
      <c r="O58" s="23">
        <v>2018</v>
      </c>
    </row>
    <row r="59" spans="15:15" x14ac:dyDescent="0.3">
      <c r="O59" s="23">
        <v>2018</v>
      </c>
    </row>
    <row r="60" spans="15:15" x14ac:dyDescent="0.3">
      <c r="O60" s="23">
        <v>2018</v>
      </c>
    </row>
    <row r="61" spans="15:15" x14ac:dyDescent="0.3">
      <c r="O61" s="23">
        <v>2018</v>
      </c>
    </row>
    <row r="62" spans="15:15" x14ac:dyDescent="0.3">
      <c r="O62" s="23">
        <v>2018</v>
      </c>
    </row>
    <row r="63" spans="15:15" x14ac:dyDescent="0.3">
      <c r="O63" s="23">
        <v>2018</v>
      </c>
    </row>
    <row r="64" spans="15:15" x14ac:dyDescent="0.3">
      <c r="O64" s="23">
        <v>2018</v>
      </c>
    </row>
    <row r="65" spans="15:15" x14ac:dyDescent="0.3">
      <c r="O65" s="23">
        <v>2018</v>
      </c>
    </row>
    <row r="66" spans="15:15" x14ac:dyDescent="0.3">
      <c r="O66" s="23">
        <v>2018</v>
      </c>
    </row>
    <row r="67" spans="15:15" x14ac:dyDescent="0.3">
      <c r="O67" s="23">
        <v>2018</v>
      </c>
    </row>
    <row r="68" spans="15:15" x14ac:dyDescent="0.3">
      <c r="O68" s="23">
        <v>2018</v>
      </c>
    </row>
    <row r="69" spans="15:15" x14ac:dyDescent="0.3">
      <c r="O69" s="23">
        <v>2018</v>
      </c>
    </row>
    <row r="70" spans="15:15" x14ac:dyDescent="0.3">
      <c r="O70" s="23">
        <v>2018</v>
      </c>
    </row>
    <row r="71" spans="15:15" x14ac:dyDescent="0.3">
      <c r="O71" s="23">
        <v>2018</v>
      </c>
    </row>
    <row r="72" spans="15:15" x14ac:dyDescent="0.3">
      <c r="O72" s="23">
        <v>2018</v>
      </c>
    </row>
    <row r="73" spans="15:15" x14ac:dyDescent="0.3">
      <c r="O73" s="23">
        <v>2018</v>
      </c>
    </row>
    <row r="74" spans="15:15" x14ac:dyDescent="0.3">
      <c r="O74" s="23">
        <v>2018</v>
      </c>
    </row>
    <row r="75" spans="15:15" x14ac:dyDescent="0.3">
      <c r="O75" s="23">
        <v>2018</v>
      </c>
    </row>
    <row r="76" spans="15:15" x14ac:dyDescent="0.3">
      <c r="O76" s="23">
        <v>2018</v>
      </c>
    </row>
    <row r="77" spans="15:15" x14ac:dyDescent="0.3">
      <c r="O77" s="23">
        <v>2018</v>
      </c>
    </row>
    <row r="78" spans="15:15" x14ac:dyDescent="0.3">
      <c r="O78" s="23">
        <v>2018</v>
      </c>
    </row>
    <row r="79" spans="15:15" x14ac:dyDescent="0.3">
      <c r="O79" s="23">
        <v>2018</v>
      </c>
    </row>
    <row r="80" spans="15:15" x14ac:dyDescent="0.3">
      <c r="O80" s="23">
        <v>2018</v>
      </c>
    </row>
    <row r="81" spans="15:15" x14ac:dyDescent="0.3">
      <c r="O81" s="23">
        <v>2018</v>
      </c>
    </row>
    <row r="82" spans="15:15" x14ac:dyDescent="0.3">
      <c r="O82" s="23">
        <v>2018</v>
      </c>
    </row>
    <row r="83" spans="15:15" x14ac:dyDescent="0.3">
      <c r="O83" s="23">
        <v>2018</v>
      </c>
    </row>
    <row r="84" spans="15:15" x14ac:dyDescent="0.3">
      <c r="O84" s="23">
        <v>2018</v>
      </c>
    </row>
    <row r="85" spans="15:15" x14ac:dyDescent="0.3">
      <c r="O85" s="23">
        <v>2018</v>
      </c>
    </row>
    <row r="86" spans="15:15" x14ac:dyDescent="0.3">
      <c r="O86" s="23">
        <v>2018</v>
      </c>
    </row>
    <row r="87" spans="15:15" x14ac:dyDescent="0.3">
      <c r="O87" s="23">
        <v>2018</v>
      </c>
    </row>
  </sheetData>
  <sheetProtection algorithmName="SHA-512" hashValue="GgnSwjmKGkKiKyB1BPAiK9RYb7ccWor2sCx7TVLEU/CAatkJujywT2oZYlTxV3r0X7UVs+hp0HX9RaMYjujj2A==" saltValue="xo8WpCC4aadC60OCqG3kLA==" spinCount="100000" sheet="1" objects="1" scenarios="1"/>
  <mergeCells count="10">
    <mergeCell ref="D6:F6"/>
    <mergeCell ref="D30:F30"/>
    <mergeCell ref="D13:F13"/>
    <mergeCell ref="M24:M25"/>
    <mergeCell ref="L24:L25"/>
    <mergeCell ref="L15:L17"/>
    <mergeCell ref="L18:L19"/>
    <mergeCell ref="L21:L22"/>
    <mergeCell ref="M15:M20"/>
    <mergeCell ref="M21:M22"/>
  </mergeCells>
  <printOptions horizontalCentered="1"/>
  <pageMargins left="0" right="0" top="0" bottom="0" header="0" footer="0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"/>
  <sheetViews>
    <sheetView workbookViewId="0"/>
  </sheetViews>
  <sheetFormatPr baseColWidth="10" defaultColWidth="11.44140625" defaultRowHeight="14.4" x14ac:dyDescent="0.3"/>
  <cols>
    <col min="1" max="1" width="1.33203125" style="21" customWidth="1"/>
    <col min="2" max="2" width="13.6640625" style="21" customWidth="1"/>
    <col min="3" max="3" width="12.6640625" style="21" customWidth="1"/>
    <col min="4" max="4" width="3.109375" style="21" bestFit="1" customWidth="1"/>
    <col min="5" max="5" width="3" style="21" bestFit="1" customWidth="1"/>
    <col min="6" max="6" width="5" style="21" bestFit="1" customWidth="1"/>
    <col min="7" max="7" width="12.44140625" style="21" bestFit="1" customWidth="1"/>
    <col min="8" max="8" width="14.6640625" style="21" customWidth="1"/>
    <col min="9" max="9" width="15.33203125" style="21" bestFit="1" customWidth="1"/>
    <col min="10" max="10" width="14.6640625" style="21" customWidth="1"/>
    <col min="11" max="11" width="27.6640625" style="50" bestFit="1" customWidth="1"/>
    <col min="12" max="12" width="5.6640625" style="50" customWidth="1"/>
    <col min="13" max="13" width="27.6640625" style="50" customWidth="1"/>
    <col min="14" max="14" width="11.44140625" style="23"/>
    <col min="15" max="15" width="4.6640625" style="23" hidden="1" customWidth="1"/>
    <col min="16" max="16384" width="11.44140625" style="21"/>
  </cols>
  <sheetData>
    <row r="1" spans="2:15" s="22" customFormat="1" x14ac:dyDescent="0.3">
      <c r="B1" s="20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O1" s="23">
        <v>2017</v>
      </c>
    </row>
    <row r="2" spans="2:15" x14ac:dyDescent="0.3">
      <c r="B2" s="24" t="s">
        <v>115</v>
      </c>
      <c r="C2" s="25"/>
      <c r="D2" s="78" t="s">
        <v>231</v>
      </c>
      <c r="E2" s="26"/>
      <c r="F2" s="26"/>
      <c r="G2" s="78" t="s">
        <v>382</v>
      </c>
      <c r="H2" s="26"/>
      <c r="I2" s="26"/>
      <c r="J2" s="144"/>
      <c r="K2" s="26"/>
      <c r="L2" s="24" t="s">
        <v>416</v>
      </c>
      <c r="M2" s="26"/>
      <c r="O2" s="23">
        <v>2017</v>
      </c>
    </row>
    <row r="3" spans="2:15" ht="15" customHeight="1" x14ac:dyDescent="0.3">
      <c r="B3" s="27"/>
      <c r="C3" s="25"/>
      <c r="D3" s="26"/>
      <c r="E3" s="26"/>
      <c r="F3" s="26"/>
      <c r="G3" s="26"/>
      <c r="H3" s="26"/>
      <c r="I3" s="83"/>
      <c r="J3" s="83"/>
      <c r="K3" s="26"/>
      <c r="L3" s="26"/>
      <c r="M3" s="26"/>
      <c r="O3" s="23">
        <v>2017</v>
      </c>
    </row>
    <row r="4" spans="2:15" s="22" customFormat="1" ht="15" customHeight="1" x14ac:dyDescent="0.3">
      <c r="B4" s="20"/>
      <c r="C4" s="20"/>
      <c r="D4" s="21"/>
      <c r="E4" s="21"/>
      <c r="F4" s="21"/>
      <c r="G4" s="21"/>
      <c r="H4" s="21"/>
      <c r="I4" s="251"/>
      <c r="J4" s="226"/>
      <c r="K4" s="21"/>
      <c r="L4" s="21"/>
      <c r="M4" s="21"/>
      <c r="O4" s="23">
        <v>2017</v>
      </c>
    </row>
    <row r="5" spans="2:15" s="144" customFormat="1" x14ac:dyDescent="0.3">
      <c r="B5" s="24" t="s">
        <v>189</v>
      </c>
      <c r="C5" s="25"/>
      <c r="D5" s="26"/>
      <c r="E5" s="26"/>
      <c r="F5" s="26"/>
      <c r="G5" s="26"/>
      <c r="H5" s="26"/>
      <c r="I5" s="26"/>
      <c r="J5" s="24"/>
      <c r="K5" s="26"/>
      <c r="L5" s="26"/>
      <c r="M5" s="26"/>
      <c r="N5" s="23"/>
      <c r="O5" s="23">
        <v>2018</v>
      </c>
    </row>
    <row r="6" spans="2:15" s="144" customFormat="1" x14ac:dyDescent="0.3">
      <c r="B6" s="28" t="s">
        <v>0</v>
      </c>
      <c r="C6" s="29" t="s">
        <v>1</v>
      </c>
      <c r="D6" s="227" t="s">
        <v>2</v>
      </c>
      <c r="E6" s="227"/>
      <c r="F6" s="227"/>
      <c r="G6" s="30" t="s">
        <v>379</v>
      </c>
      <c r="H6" s="158" t="s">
        <v>7</v>
      </c>
      <c r="I6" s="158" t="s">
        <v>5</v>
      </c>
      <c r="J6" s="158" t="s">
        <v>4</v>
      </c>
      <c r="K6" s="158" t="s">
        <v>3</v>
      </c>
      <c r="L6" s="31"/>
      <c r="M6" s="32"/>
      <c r="N6" s="23"/>
      <c r="O6" s="23">
        <v>2018</v>
      </c>
    </row>
    <row r="7" spans="2:15" s="144" customFormat="1" ht="14.25" customHeight="1" x14ac:dyDescent="0.3">
      <c r="B7" s="33" t="s">
        <v>388</v>
      </c>
      <c r="C7" s="34" t="s">
        <v>389</v>
      </c>
      <c r="D7" s="35">
        <v>4</v>
      </c>
      <c r="E7" s="35">
        <v>4</v>
      </c>
      <c r="F7" s="35">
        <v>2017</v>
      </c>
      <c r="G7" s="145">
        <f t="shared" ref="G7:G8" si="0">O7-F7</f>
        <v>1</v>
      </c>
      <c r="H7" s="44" t="s">
        <v>11</v>
      </c>
      <c r="I7" s="156" t="s">
        <v>364</v>
      </c>
      <c r="J7" s="37">
        <v>2021</v>
      </c>
      <c r="K7" s="145" t="s">
        <v>160</v>
      </c>
      <c r="L7" s="38"/>
      <c r="N7" s="23"/>
      <c r="O7" s="23">
        <v>2018</v>
      </c>
    </row>
    <row r="8" spans="2:15" s="144" customFormat="1" ht="14.25" customHeight="1" x14ac:dyDescent="0.3">
      <c r="B8" s="33" t="s">
        <v>147</v>
      </c>
      <c r="C8" s="34" t="s">
        <v>390</v>
      </c>
      <c r="D8" s="35">
        <v>19</v>
      </c>
      <c r="E8" s="35">
        <v>7</v>
      </c>
      <c r="F8" s="35">
        <v>2016</v>
      </c>
      <c r="G8" s="145">
        <f t="shared" si="0"/>
        <v>2</v>
      </c>
      <c r="H8" s="44" t="s">
        <v>11</v>
      </c>
      <c r="I8" s="156" t="s">
        <v>367</v>
      </c>
      <c r="J8" s="37">
        <v>2021</v>
      </c>
      <c r="K8" s="145" t="s">
        <v>160</v>
      </c>
      <c r="L8" s="38"/>
      <c r="N8" s="23"/>
      <c r="O8" s="23">
        <v>2018</v>
      </c>
    </row>
    <row r="9" spans="2:15" s="144" customFormat="1" ht="14.25" customHeight="1" x14ac:dyDescent="0.3">
      <c r="B9" s="33" t="s">
        <v>387</v>
      </c>
      <c r="C9" s="34" t="s">
        <v>61</v>
      </c>
      <c r="D9" s="35">
        <v>21</v>
      </c>
      <c r="E9" s="35">
        <v>11</v>
      </c>
      <c r="F9" s="35">
        <v>2016</v>
      </c>
      <c r="G9" s="145">
        <f>O9-F9</f>
        <v>2</v>
      </c>
      <c r="H9" s="35" t="s">
        <v>269</v>
      </c>
      <c r="I9" s="156" t="s">
        <v>364</v>
      </c>
      <c r="J9" s="37">
        <v>2021</v>
      </c>
      <c r="K9" s="145" t="s">
        <v>160</v>
      </c>
      <c r="L9" s="38"/>
      <c r="N9" s="23"/>
      <c r="O9" s="23">
        <v>2018</v>
      </c>
    </row>
    <row r="10" spans="2:15" s="144" customFormat="1" ht="14.25" customHeight="1" x14ac:dyDescent="0.3">
      <c r="B10" s="33" t="s">
        <v>270</v>
      </c>
      <c r="C10" s="34" t="s">
        <v>271</v>
      </c>
      <c r="D10" s="35">
        <v>24</v>
      </c>
      <c r="E10" s="35">
        <v>8</v>
      </c>
      <c r="F10" s="35">
        <v>2016</v>
      </c>
      <c r="G10" s="145">
        <f t="shared" ref="G10:G12" si="1">O10-F10</f>
        <v>2</v>
      </c>
      <c r="H10" s="35" t="s">
        <v>269</v>
      </c>
      <c r="I10" s="156" t="s">
        <v>364</v>
      </c>
      <c r="J10" s="37">
        <v>2021</v>
      </c>
      <c r="K10" s="145" t="s">
        <v>160</v>
      </c>
      <c r="L10" s="38"/>
      <c r="N10" s="23"/>
      <c r="O10" s="23">
        <v>2018</v>
      </c>
    </row>
    <row r="11" spans="2:15" s="144" customFormat="1" ht="14.25" customHeight="1" x14ac:dyDescent="0.3">
      <c r="B11" s="33" t="s">
        <v>267</v>
      </c>
      <c r="C11" s="34" t="s">
        <v>109</v>
      </c>
      <c r="D11" s="35">
        <v>18</v>
      </c>
      <c r="E11" s="35">
        <v>2</v>
      </c>
      <c r="F11" s="35">
        <v>2016</v>
      </c>
      <c r="G11" s="145">
        <f t="shared" si="1"/>
        <v>2</v>
      </c>
      <c r="H11" s="35" t="s">
        <v>15</v>
      </c>
      <c r="I11" s="156" t="s">
        <v>130</v>
      </c>
      <c r="J11" s="37">
        <v>2020</v>
      </c>
      <c r="K11" s="145" t="s">
        <v>160</v>
      </c>
      <c r="L11" s="38"/>
      <c r="N11" s="23"/>
      <c r="O11" s="23">
        <v>2018</v>
      </c>
    </row>
    <row r="12" spans="2:15" s="144" customFormat="1" ht="14.25" customHeight="1" x14ac:dyDescent="0.3">
      <c r="B12" s="33" t="s">
        <v>268</v>
      </c>
      <c r="C12" s="34" t="s">
        <v>368</v>
      </c>
      <c r="D12" s="35">
        <v>1</v>
      </c>
      <c r="E12" s="35">
        <v>4</v>
      </c>
      <c r="F12" s="35">
        <v>2016</v>
      </c>
      <c r="G12" s="145">
        <f t="shared" si="1"/>
        <v>2</v>
      </c>
      <c r="H12" s="35" t="s">
        <v>269</v>
      </c>
      <c r="I12" s="156" t="s">
        <v>364</v>
      </c>
      <c r="J12" s="37">
        <v>2020</v>
      </c>
      <c r="K12" s="145" t="s">
        <v>160</v>
      </c>
      <c r="L12" s="38"/>
      <c r="N12" s="23"/>
      <c r="O12" s="23">
        <v>2018</v>
      </c>
    </row>
    <row r="13" spans="2:15" s="144" customFormat="1" ht="14.25" customHeight="1" x14ac:dyDescent="0.3">
      <c r="B13" s="33" t="s">
        <v>151</v>
      </c>
      <c r="C13" s="34" t="s">
        <v>369</v>
      </c>
      <c r="D13" s="35">
        <v>6</v>
      </c>
      <c r="E13" s="35">
        <v>8</v>
      </c>
      <c r="F13" s="35">
        <v>2015</v>
      </c>
      <c r="G13" s="145">
        <f>O13-F13</f>
        <v>3</v>
      </c>
      <c r="H13" s="35" t="s">
        <v>15</v>
      </c>
      <c r="I13" s="156" t="s">
        <v>364</v>
      </c>
      <c r="J13" s="37">
        <v>2020</v>
      </c>
      <c r="K13" s="145" t="s">
        <v>160</v>
      </c>
      <c r="L13" s="38"/>
      <c r="N13" s="23"/>
      <c r="O13" s="23">
        <v>2018</v>
      </c>
    </row>
    <row r="14" spans="2:15" s="144" customFormat="1" ht="14.25" customHeight="1" x14ac:dyDescent="0.3">
      <c r="B14" s="146" t="s">
        <v>79</v>
      </c>
      <c r="C14" s="147" t="s">
        <v>197</v>
      </c>
      <c r="D14" s="145">
        <v>24</v>
      </c>
      <c r="E14" s="145">
        <v>3</v>
      </c>
      <c r="F14" s="145">
        <v>2015</v>
      </c>
      <c r="G14" s="145">
        <f>O14-F14</f>
        <v>3</v>
      </c>
      <c r="H14" s="41" t="s">
        <v>11</v>
      </c>
      <c r="I14" s="156" t="s">
        <v>365</v>
      </c>
      <c r="J14" s="145">
        <v>2019</v>
      </c>
      <c r="K14" s="145" t="s">
        <v>12</v>
      </c>
      <c r="L14" s="38"/>
      <c r="N14" s="23"/>
      <c r="O14" s="23">
        <v>2018</v>
      </c>
    </row>
    <row r="15" spans="2:15" s="144" customFormat="1" ht="14.25" customHeight="1" x14ac:dyDescent="0.3">
      <c r="B15" s="43" t="s">
        <v>159</v>
      </c>
      <c r="C15" s="34" t="s">
        <v>158</v>
      </c>
      <c r="D15" s="44">
        <v>24</v>
      </c>
      <c r="E15" s="44">
        <v>4</v>
      </c>
      <c r="F15" s="44">
        <v>2015</v>
      </c>
      <c r="G15" s="145">
        <f t="shared" ref="G15:G16" si="2">O15-F15</f>
        <v>3</v>
      </c>
      <c r="H15" s="44" t="s">
        <v>11</v>
      </c>
      <c r="I15" s="156" t="s">
        <v>116</v>
      </c>
      <c r="J15" s="37">
        <v>2019</v>
      </c>
      <c r="K15" s="145" t="s">
        <v>12</v>
      </c>
      <c r="L15" s="38"/>
      <c r="N15" s="23"/>
      <c r="O15" s="23">
        <v>2018</v>
      </c>
    </row>
    <row r="16" spans="2:15" s="144" customFormat="1" ht="14.25" customHeight="1" x14ac:dyDescent="0.3">
      <c r="B16" s="33" t="s">
        <v>118</v>
      </c>
      <c r="C16" s="34" t="s">
        <v>93</v>
      </c>
      <c r="D16" s="35">
        <v>7</v>
      </c>
      <c r="E16" s="35">
        <v>10</v>
      </c>
      <c r="F16" s="35">
        <v>2014</v>
      </c>
      <c r="G16" s="145">
        <f t="shared" si="2"/>
        <v>4</v>
      </c>
      <c r="H16" s="35" t="s">
        <v>15</v>
      </c>
      <c r="I16" s="156" t="s">
        <v>116</v>
      </c>
      <c r="J16" s="37">
        <v>2019</v>
      </c>
      <c r="K16" s="145" t="s">
        <v>160</v>
      </c>
      <c r="L16" s="38"/>
      <c r="N16" s="23"/>
      <c r="O16" s="23">
        <v>2018</v>
      </c>
    </row>
    <row r="17" spans="2:15" s="144" customFormat="1" x14ac:dyDescent="0.3">
      <c r="B17" s="45"/>
      <c r="C17" s="45"/>
      <c r="D17" s="46"/>
      <c r="E17" s="46"/>
      <c r="F17" s="46"/>
      <c r="G17" s="46"/>
      <c r="J17" s="46"/>
      <c r="N17" s="23"/>
      <c r="O17" s="23">
        <v>2018</v>
      </c>
    </row>
    <row r="18" spans="2:15" s="144" customFormat="1" x14ac:dyDescent="0.3">
      <c r="B18" s="45"/>
      <c r="C18" s="45"/>
      <c r="D18" s="46"/>
      <c r="E18" s="46"/>
      <c r="F18" s="46"/>
      <c r="G18" s="46"/>
      <c r="I18" s="47"/>
      <c r="J18" s="46"/>
      <c r="N18" s="23"/>
      <c r="O18" s="23">
        <v>2018</v>
      </c>
    </row>
    <row r="19" spans="2:15" s="144" customFormat="1" x14ac:dyDescent="0.3">
      <c r="B19" s="24" t="s">
        <v>378</v>
      </c>
      <c r="C19" s="26"/>
      <c r="D19" s="26"/>
      <c r="E19" s="26"/>
      <c r="F19" s="26"/>
      <c r="G19" s="26"/>
      <c r="H19" s="26"/>
      <c r="I19" s="26"/>
      <c r="J19" s="32"/>
      <c r="K19" s="26"/>
      <c r="L19" s="26"/>
      <c r="M19" s="26"/>
      <c r="N19" s="23"/>
      <c r="O19" s="23">
        <v>2018</v>
      </c>
    </row>
    <row r="20" spans="2:15" s="144" customFormat="1" x14ac:dyDescent="0.3">
      <c r="B20" s="28" t="s">
        <v>0</v>
      </c>
      <c r="C20" s="29" t="s">
        <v>1</v>
      </c>
      <c r="D20" s="227" t="s">
        <v>2</v>
      </c>
      <c r="E20" s="227"/>
      <c r="F20" s="227"/>
      <c r="G20" s="30" t="s">
        <v>379</v>
      </c>
      <c r="H20" s="158" t="s">
        <v>7</v>
      </c>
      <c r="I20" s="158" t="s">
        <v>5</v>
      </c>
      <c r="J20" s="158" t="s">
        <v>4</v>
      </c>
      <c r="K20" s="158" t="s">
        <v>3</v>
      </c>
      <c r="L20" s="158" t="s">
        <v>174</v>
      </c>
      <c r="M20" s="158" t="s">
        <v>172</v>
      </c>
      <c r="N20" s="23"/>
      <c r="O20" s="23">
        <v>2018</v>
      </c>
    </row>
    <row r="21" spans="2:15" s="144" customFormat="1" x14ac:dyDescent="0.3">
      <c r="B21" s="43" t="s">
        <v>126</v>
      </c>
      <c r="C21" s="34" t="s">
        <v>158</v>
      </c>
      <c r="D21" s="35">
        <v>27</v>
      </c>
      <c r="E21" s="35">
        <v>5</v>
      </c>
      <c r="F21" s="35">
        <v>2014</v>
      </c>
      <c r="G21" s="145">
        <f t="shared" ref="G21:G40" si="3">O21-F21</f>
        <v>4</v>
      </c>
      <c r="H21" s="35" t="s">
        <v>18</v>
      </c>
      <c r="I21" s="156" t="s">
        <v>366</v>
      </c>
      <c r="J21" s="37">
        <v>2018</v>
      </c>
      <c r="K21" s="145" t="s">
        <v>160</v>
      </c>
      <c r="L21" s="235">
        <v>3</v>
      </c>
      <c r="M21" s="254" t="s">
        <v>272</v>
      </c>
      <c r="N21" s="23"/>
      <c r="O21" s="23">
        <v>2018</v>
      </c>
    </row>
    <row r="22" spans="2:15" s="144" customFormat="1" x14ac:dyDescent="0.3">
      <c r="B22" s="33" t="s">
        <v>117</v>
      </c>
      <c r="C22" s="34" t="s">
        <v>154</v>
      </c>
      <c r="D22" s="35">
        <v>9</v>
      </c>
      <c r="E22" s="35">
        <v>12</v>
      </c>
      <c r="F22" s="35">
        <v>2013</v>
      </c>
      <c r="G22" s="145">
        <f t="shared" si="3"/>
        <v>5</v>
      </c>
      <c r="H22" s="35" t="s">
        <v>18</v>
      </c>
      <c r="I22" s="156" t="s">
        <v>45</v>
      </c>
      <c r="J22" s="37">
        <v>2018</v>
      </c>
      <c r="K22" s="145" t="s">
        <v>160</v>
      </c>
      <c r="L22" s="252"/>
      <c r="M22" s="246"/>
      <c r="N22" s="23"/>
      <c r="O22" s="23">
        <v>2018</v>
      </c>
    </row>
    <row r="23" spans="2:15" s="144" customFormat="1" x14ac:dyDescent="0.3">
      <c r="B23" s="33" t="s">
        <v>155</v>
      </c>
      <c r="C23" s="34" t="s">
        <v>156</v>
      </c>
      <c r="D23" s="35">
        <v>24</v>
      </c>
      <c r="E23" s="35">
        <v>10</v>
      </c>
      <c r="F23" s="35">
        <v>2013</v>
      </c>
      <c r="G23" s="145">
        <f t="shared" si="3"/>
        <v>5</v>
      </c>
      <c r="H23" s="35" t="s">
        <v>15</v>
      </c>
      <c r="I23" s="156" t="s">
        <v>116</v>
      </c>
      <c r="J23" s="145">
        <v>2018</v>
      </c>
      <c r="K23" s="145" t="s">
        <v>160</v>
      </c>
      <c r="L23" s="253"/>
      <c r="M23" s="246"/>
      <c r="N23" s="23"/>
      <c r="O23" s="23">
        <v>2018</v>
      </c>
    </row>
    <row r="24" spans="2:15" s="144" customFormat="1" ht="15" customHeight="1" x14ac:dyDescent="0.3">
      <c r="B24" s="33" t="s">
        <v>148</v>
      </c>
      <c r="C24" s="34" t="s">
        <v>48</v>
      </c>
      <c r="D24" s="35">
        <v>8</v>
      </c>
      <c r="E24" s="35">
        <v>4</v>
      </c>
      <c r="F24" s="35">
        <v>2013</v>
      </c>
      <c r="G24" s="145">
        <f t="shared" si="3"/>
        <v>5</v>
      </c>
      <c r="H24" s="35" t="s">
        <v>18</v>
      </c>
      <c r="I24" s="156" t="s">
        <v>365</v>
      </c>
      <c r="J24" s="37">
        <v>2018</v>
      </c>
      <c r="K24" s="143" t="s">
        <v>22</v>
      </c>
      <c r="L24" s="235">
        <v>4</v>
      </c>
      <c r="M24" s="246"/>
      <c r="N24" s="23"/>
      <c r="O24" s="23">
        <v>2018</v>
      </c>
    </row>
    <row r="25" spans="2:15" s="144" customFormat="1" x14ac:dyDescent="0.3">
      <c r="B25" s="33" t="s">
        <v>128</v>
      </c>
      <c r="C25" s="34" t="s">
        <v>84</v>
      </c>
      <c r="D25" s="35">
        <v>17</v>
      </c>
      <c r="E25" s="35">
        <v>2</v>
      </c>
      <c r="F25" s="35">
        <v>2013</v>
      </c>
      <c r="G25" s="145">
        <f t="shared" si="3"/>
        <v>5</v>
      </c>
      <c r="H25" s="35" t="s">
        <v>18</v>
      </c>
      <c r="I25" s="156" t="s">
        <v>130</v>
      </c>
      <c r="J25" s="145">
        <v>2018</v>
      </c>
      <c r="K25" s="143" t="s">
        <v>22</v>
      </c>
      <c r="L25" s="255"/>
      <c r="M25" s="246"/>
      <c r="N25" s="23"/>
      <c r="O25" s="23">
        <v>2018</v>
      </c>
    </row>
    <row r="26" spans="2:15" s="144" customFormat="1" x14ac:dyDescent="0.3">
      <c r="B26" s="33" t="s">
        <v>118</v>
      </c>
      <c r="C26" s="34" t="s">
        <v>50</v>
      </c>
      <c r="D26" s="35">
        <v>20</v>
      </c>
      <c r="E26" s="35">
        <v>10</v>
      </c>
      <c r="F26" s="35">
        <v>2012</v>
      </c>
      <c r="G26" s="145">
        <f t="shared" si="3"/>
        <v>6</v>
      </c>
      <c r="H26" s="35" t="s">
        <v>15</v>
      </c>
      <c r="I26" s="156" t="s">
        <v>116</v>
      </c>
      <c r="J26" s="37">
        <v>2018</v>
      </c>
      <c r="K26" s="143" t="s">
        <v>22</v>
      </c>
      <c r="L26" s="255"/>
      <c r="M26" s="246"/>
      <c r="N26" s="23"/>
      <c r="O26" s="23">
        <v>2018</v>
      </c>
    </row>
    <row r="27" spans="2:15" s="144" customFormat="1" x14ac:dyDescent="0.3">
      <c r="B27" s="33" t="s">
        <v>151</v>
      </c>
      <c r="C27" s="34" t="s">
        <v>34</v>
      </c>
      <c r="D27" s="35">
        <v>3</v>
      </c>
      <c r="E27" s="35">
        <v>8</v>
      </c>
      <c r="F27" s="35">
        <v>2012</v>
      </c>
      <c r="G27" s="145">
        <f t="shared" si="3"/>
        <v>6</v>
      </c>
      <c r="H27" s="35" t="s">
        <v>15</v>
      </c>
      <c r="I27" s="156" t="s">
        <v>364</v>
      </c>
      <c r="J27" s="145">
        <v>2018</v>
      </c>
      <c r="K27" s="143" t="s">
        <v>22</v>
      </c>
      <c r="L27" s="256"/>
      <c r="M27" s="247"/>
      <c r="N27" s="23"/>
      <c r="O27" s="23">
        <v>2018</v>
      </c>
    </row>
    <row r="28" spans="2:15" s="144" customFormat="1" ht="15" customHeight="1" x14ac:dyDescent="0.3">
      <c r="B28" s="33" t="s">
        <v>124</v>
      </c>
      <c r="C28" s="34" t="s">
        <v>143</v>
      </c>
      <c r="D28" s="35">
        <v>12</v>
      </c>
      <c r="E28" s="35">
        <v>6</v>
      </c>
      <c r="F28" s="35">
        <v>2012</v>
      </c>
      <c r="G28" s="145">
        <f t="shared" si="3"/>
        <v>6</v>
      </c>
      <c r="H28" s="35" t="s">
        <v>18</v>
      </c>
      <c r="I28" s="156" t="s">
        <v>365</v>
      </c>
      <c r="J28" s="37">
        <v>2018</v>
      </c>
      <c r="K28" s="143" t="s">
        <v>24</v>
      </c>
      <c r="L28" s="143">
        <v>1</v>
      </c>
      <c r="M28" s="248" t="s">
        <v>191</v>
      </c>
      <c r="N28" s="23"/>
      <c r="O28" s="23">
        <v>2018</v>
      </c>
    </row>
    <row r="29" spans="2:15" s="144" customFormat="1" ht="15" customHeight="1" x14ac:dyDescent="0.3">
      <c r="B29" s="16" t="s">
        <v>118</v>
      </c>
      <c r="C29" s="48" t="s">
        <v>119</v>
      </c>
      <c r="D29" s="5">
        <v>2</v>
      </c>
      <c r="E29" s="5">
        <v>6</v>
      </c>
      <c r="F29" s="145">
        <v>2011</v>
      </c>
      <c r="G29" s="145">
        <f t="shared" si="3"/>
        <v>7</v>
      </c>
      <c r="H29" s="145" t="s">
        <v>18</v>
      </c>
      <c r="I29" s="156" t="s">
        <v>116</v>
      </c>
      <c r="J29" s="145">
        <v>2018</v>
      </c>
      <c r="K29" s="143" t="s">
        <v>25</v>
      </c>
      <c r="L29" s="159">
        <v>1</v>
      </c>
      <c r="M29" s="246"/>
      <c r="N29" s="23"/>
      <c r="O29" s="23">
        <v>2018</v>
      </c>
    </row>
    <row r="30" spans="2:15" s="144" customFormat="1" ht="15" customHeight="1" x14ac:dyDescent="0.3">
      <c r="B30" s="16" t="s">
        <v>123</v>
      </c>
      <c r="C30" s="48" t="s">
        <v>93</v>
      </c>
      <c r="D30" s="5">
        <v>2</v>
      </c>
      <c r="E30" s="5">
        <v>6</v>
      </c>
      <c r="F30" s="145">
        <v>2010</v>
      </c>
      <c r="G30" s="145">
        <f t="shared" si="3"/>
        <v>8</v>
      </c>
      <c r="H30" s="145" t="s">
        <v>18</v>
      </c>
      <c r="I30" s="156" t="s">
        <v>116</v>
      </c>
      <c r="J30" s="37">
        <v>2018</v>
      </c>
      <c r="K30" s="143" t="s">
        <v>30</v>
      </c>
      <c r="L30" s="242">
        <v>3</v>
      </c>
      <c r="M30" s="246"/>
      <c r="N30" s="23"/>
      <c r="O30" s="23">
        <v>2018</v>
      </c>
    </row>
    <row r="31" spans="2:15" s="144" customFormat="1" ht="15" customHeight="1" x14ac:dyDescent="0.3">
      <c r="B31" s="16" t="s">
        <v>144</v>
      </c>
      <c r="C31" s="48" t="s">
        <v>111</v>
      </c>
      <c r="D31" s="5">
        <v>30</v>
      </c>
      <c r="E31" s="5">
        <v>9</v>
      </c>
      <c r="F31" s="145">
        <v>2009</v>
      </c>
      <c r="G31" s="145">
        <f t="shared" si="3"/>
        <v>9</v>
      </c>
      <c r="H31" s="145" t="s">
        <v>18</v>
      </c>
      <c r="I31" s="156" t="s">
        <v>130</v>
      </c>
      <c r="J31" s="145">
        <v>2018</v>
      </c>
      <c r="K31" s="143" t="s">
        <v>30</v>
      </c>
      <c r="L31" s="240"/>
      <c r="M31" s="246"/>
      <c r="N31" s="23"/>
      <c r="O31" s="23">
        <v>2018</v>
      </c>
    </row>
    <row r="32" spans="2:15" s="144" customFormat="1" ht="15" customHeight="1" x14ac:dyDescent="0.3">
      <c r="B32" s="16" t="s">
        <v>121</v>
      </c>
      <c r="C32" s="48" t="s">
        <v>122</v>
      </c>
      <c r="D32" s="5">
        <v>18</v>
      </c>
      <c r="E32" s="5">
        <v>8</v>
      </c>
      <c r="F32" s="145">
        <v>2009</v>
      </c>
      <c r="G32" s="145">
        <f t="shared" si="3"/>
        <v>9</v>
      </c>
      <c r="H32" s="145" t="s">
        <v>18</v>
      </c>
      <c r="I32" s="156" t="s">
        <v>367</v>
      </c>
      <c r="J32" s="37">
        <v>2018</v>
      </c>
      <c r="K32" s="143" t="s">
        <v>30</v>
      </c>
      <c r="L32" s="240"/>
      <c r="M32" s="246"/>
      <c r="N32" s="23"/>
      <c r="O32" s="23">
        <v>2018</v>
      </c>
    </row>
    <row r="33" spans="1:15" s="144" customFormat="1" ht="15" customHeight="1" x14ac:dyDescent="0.3">
      <c r="B33" s="16" t="s">
        <v>147</v>
      </c>
      <c r="C33" s="48" t="s">
        <v>125</v>
      </c>
      <c r="D33" s="5">
        <v>6</v>
      </c>
      <c r="E33" s="5">
        <v>3</v>
      </c>
      <c r="F33" s="145">
        <v>2009</v>
      </c>
      <c r="G33" s="145">
        <f t="shared" si="3"/>
        <v>9</v>
      </c>
      <c r="H33" s="145" t="s">
        <v>18</v>
      </c>
      <c r="I33" s="156" t="s">
        <v>367</v>
      </c>
      <c r="J33" s="145">
        <v>2018</v>
      </c>
      <c r="K33" s="143" t="s">
        <v>27</v>
      </c>
      <c r="L33" s="242">
        <v>8</v>
      </c>
      <c r="M33" s="246"/>
      <c r="N33" s="23"/>
      <c r="O33" s="23">
        <v>2018</v>
      </c>
    </row>
    <row r="34" spans="1:15" s="144" customFormat="1" ht="15" customHeight="1" x14ac:dyDescent="0.3">
      <c r="B34" s="16" t="s">
        <v>126</v>
      </c>
      <c r="C34" s="48" t="s">
        <v>127</v>
      </c>
      <c r="D34" s="5">
        <v>9</v>
      </c>
      <c r="E34" s="5">
        <v>1</v>
      </c>
      <c r="F34" s="145">
        <v>2009</v>
      </c>
      <c r="G34" s="145">
        <f t="shared" si="3"/>
        <v>9</v>
      </c>
      <c r="H34" s="145" t="s">
        <v>18</v>
      </c>
      <c r="I34" s="156" t="s">
        <v>366</v>
      </c>
      <c r="J34" s="37">
        <v>2018</v>
      </c>
      <c r="K34" s="143" t="s">
        <v>27</v>
      </c>
      <c r="L34" s="240"/>
      <c r="M34" s="246"/>
      <c r="N34" s="23"/>
      <c r="O34" s="23">
        <v>2018</v>
      </c>
    </row>
    <row r="35" spans="1:15" s="144" customFormat="1" ht="15" customHeight="1" x14ac:dyDescent="0.3">
      <c r="B35" s="16" t="s">
        <v>131</v>
      </c>
      <c r="C35" s="48" t="s">
        <v>87</v>
      </c>
      <c r="D35" s="5">
        <v>11</v>
      </c>
      <c r="E35" s="5">
        <v>5</v>
      </c>
      <c r="F35" s="145">
        <v>2009</v>
      </c>
      <c r="G35" s="145">
        <f t="shared" si="3"/>
        <v>9</v>
      </c>
      <c r="H35" s="145" t="s">
        <v>18</v>
      </c>
      <c r="I35" s="156" t="s">
        <v>367</v>
      </c>
      <c r="J35" s="145">
        <v>2018</v>
      </c>
      <c r="K35" s="143" t="s">
        <v>27</v>
      </c>
      <c r="L35" s="240"/>
      <c r="M35" s="246"/>
      <c r="N35" s="23"/>
      <c r="O35" s="23">
        <v>2018</v>
      </c>
    </row>
    <row r="36" spans="1:15" s="144" customFormat="1" ht="15" customHeight="1" x14ac:dyDescent="0.3">
      <c r="B36" s="16" t="s">
        <v>124</v>
      </c>
      <c r="C36" s="48" t="s">
        <v>146</v>
      </c>
      <c r="D36" s="5">
        <v>5</v>
      </c>
      <c r="E36" s="5">
        <v>9</v>
      </c>
      <c r="F36" s="145">
        <v>2008</v>
      </c>
      <c r="G36" s="145">
        <f t="shared" si="3"/>
        <v>10</v>
      </c>
      <c r="H36" s="145" t="s">
        <v>18</v>
      </c>
      <c r="I36" s="156" t="s">
        <v>365</v>
      </c>
      <c r="J36" s="37">
        <v>2018</v>
      </c>
      <c r="K36" s="143" t="s">
        <v>27</v>
      </c>
      <c r="L36" s="240"/>
      <c r="M36" s="246"/>
      <c r="N36" s="23"/>
      <c r="O36" s="23">
        <v>2018</v>
      </c>
    </row>
    <row r="37" spans="1:15" s="144" customFormat="1" ht="15" customHeight="1" x14ac:dyDescent="0.3">
      <c r="B37" s="16" t="s">
        <v>128</v>
      </c>
      <c r="C37" s="48" t="s">
        <v>145</v>
      </c>
      <c r="D37" s="5">
        <v>22</v>
      </c>
      <c r="E37" s="5">
        <v>8</v>
      </c>
      <c r="F37" s="145">
        <v>2008</v>
      </c>
      <c r="G37" s="145">
        <f t="shared" si="3"/>
        <v>10</v>
      </c>
      <c r="H37" s="145" t="s">
        <v>18</v>
      </c>
      <c r="I37" s="156" t="s">
        <v>130</v>
      </c>
      <c r="J37" s="145">
        <v>2018</v>
      </c>
      <c r="K37" s="143" t="s">
        <v>27</v>
      </c>
      <c r="L37" s="240"/>
      <c r="M37" s="246"/>
      <c r="N37" s="23"/>
      <c r="O37" s="23">
        <v>2018</v>
      </c>
    </row>
    <row r="38" spans="1:15" s="144" customFormat="1" ht="15" customHeight="1" x14ac:dyDescent="0.3">
      <c r="B38" s="16" t="s">
        <v>118</v>
      </c>
      <c r="C38" s="48" t="s">
        <v>129</v>
      </c>
      <c r="D38" s="5">
        <v>17</v>
      </c>
      <c r="E38" s="5">
        <v>12</v>
      </c>
      <c r="F38" s="145">
        <v>2008</v>
      </c>
      <c r="G38" s="145">
        <f t="shared" si="3"/>
        <v>10</v>
      </c>
      <c r="H38" s="145" t="s">
        <v>18</v>
      </c>
      <c r="I38" s="156" t="s">
        <v>116</v>
      </c>
      <c r="J38" s="37">
        <v>2018</v>
      </c>
      <c r="K38" s="143" t="s">
        <v>27</v>
      </c>
      <c r="L38" s="240"/>
      <c r="M38" s="246"/>
      <c r="N38" s="23"/>
      <c r="O38" s="23">
        <v>2018</v>
      </c>
    </row>
    <row r="39" spans="1:15" s="144" customFormat="1" ht="15" customHeight="1" x14ac:dyDescent="0.3">
      <c r="B39" s="16" t="s">
        <v>363</v>
      </c>
      <c r="C39" s="48" t="s">
        <v>127</v>
      </c>
      <c r="D39" s="5">
        <v>19</v>
      </c>
      <c r="E39" s="5">
        <v>7</v>
      </c>
      <c r="F39" s="145">
        <v>2008</v>
      </c>
      <c r="G39" s="145">
        <f t="shared" si="3"/>
        <v>10</v>
      </c>
      <c r="H39" s="145" t="s">
        <v>18</v>
      </c>
      <c r="I39" s="156" t="s">
        <v>130</v>
      </c>
      <c r="J39" s="145">
        <v>2018</v>
      </c>
      <c r="K39" s="143" t="s">
        <v>27</v>
      </c>
      <c r="L39" s="240"/>
      <c r="M39" s="246"/>
      <c r="N39" s="23"/>
      <c r="O39" s="23">
        <v>2018</v>
      </c>
    </row>
    <row r="40" spans="1:15" s="144" customFormat="1" ht="15" customHeight="1" x14ac:dyDescent="0.3">
      <c r="B40" s="16" t="s">
        <v>130</v>
      </c>
      <c r="C40" s="48" t="s">
        <v>93</v>
      </c>
      <c r="D40" s="5">
        <v>22</v>
      </c>
      <c r="E40" s="5">
        <v>7</v>
      </c>
      <c r="F40" s="145">
        <v>2008</v>
      </c>
      <c r="G40" s="145">
        <f t="shared" si="3"/>
        <v>10</v>
      </c>
      <c r="H40" s="145" t="s">
        <v>18</v>
      </c>
      <c r="I40" s="156" t="s">
        <v>116</v>
      </c>
      <c r="J40" s="37">
        <v>2018</v>
      </c>
      <c r="K40" s="143" t="s">
        <v>27</v>
      </c>
      <c r="L40" s="241"/>
      <c r="M40" s="247"/>
      <c r="N40" s="23"/>
      <c r="O40" s="23">
        <v>2018</v>
      </c>
    </row>
    <row r="41" spans="1:15" s="144" customFormat="1" ht="15" customHeight="1" x14ac:dyDescent="0.3">
      <c r="A41" s="50"/>
      <c r="B41" s="4"/>
      <c r="C41" s="4"/>
      <c r="D41" s="3"/>
      <c r="E41" s="3"/>
      <c r="F41" s="38"/>
      <c r="G41" s="38"/>
      <c r="H41" s="38"/>
      <c r="I41" s="148"/>
      <c r="J41" s="46"/>
      <c r="K41" s="148"/>
      <c r="L41" s="148"/>
      <c r="M41" s="101"/>
      <c r="N41" s="23"/>
      <c r="O41" s="23">
        <v>2018</v>
      </c>
    </row>
    <row r="42" spans="1:15" s="144" customFormat="1" x14ac:dyDescent="0.3">
      <c r="B42" s="4"/>
      <c r="C42" s="49"/>
      <c r="D42" s="3"/>
      <c r="E42" s="3"/>
      <c r="F42" s="38"/>
      <c r="G42" s="38"/>
      <c r="H42" s="38"/>
      <c r="I42" s="148"/>
      <c r="J42" s="148"/>
      <c r="K42" s="148"/>
      <c r="L42" s="148"/>
      <c r="M42" s="7"/>
      <c r="N42" s="23"/>
      <c r="O42" s="23">
        <v>2018</v>
      </c>
    </row>
    <row r="43" spans="1:15" s="144" customFormat="1" x14ac:dyDescent="0.3">
      <c r="B43" s="4"/>
      <c r="C43" s="49"/>
      <c r="D43" s="3"/>
      <c r="E43" s="3"/>
      <c r="F43" s="38"/>
      <c r="G43" s="38"/>
      <c r="H43" s="38"/>
      <c r="I43" s="148"/>
      <c r="J43" s="148"/>
      <c r="K43" s="148"/>
      <c r="L43" s="148"/>
      <c r="M43" s="7"/>
      <c r="N43" s="23"/>
      <c r="O43" s="23">
        <v>2018</v>
      </c>
    </row>
    <row r="44" spans="1:15" s="144" customFormat="1" x14ac:dyDescent="0.3">
      <c r="B44" s="4"/>
      <c r="C44" s="49"/>
      <c r="D44" s="3"/>
      <c r="E44" s="3"/>
      <c r="F44" s="38"/>
      <c r="G44" s="38"/>
      <c r="H44" s="38"/>
      <c r="I44" s="148"/>
      <c r="J44" s="148"/>
      <c r="K44" s="148"/>
      <c r="L44" s="148"/>
      <c r="M44" s="7"/>
      <c r="N44" s="23"/>
      <c r="O44" s="23">
        <v>2018</v>
      </c>
    </row>
    <row r="45" spans="1:15" s="144" customFormat="1" x14ac:dyDescent="0.3">
      <c r="B45" s="4"/>
      <c r="C45" s="49"/>
      <c r="D45" s="3"/>
      <c r="E45" s="3"/>
      <c r="F45" s="38"/>
      <c r="G45" s="38"/>
      <c r="H45" s="38"/>
      <c r="I45" s="148"/>
      <c r="J45" s="148"/>
      <c r="K45" s="148"/>
      <c r="L45" s="148"/>
      <c r="M45" s="7"/>
      <c r="N45" s="23"/>
      <c r="O45" s="23">
        <v>2018</v>
      </c>
    </row>
    <row r="46" spans="1:15" s="144" customFormat="1" x14ac:dyDescent="0.3">
      <c r="B46" s="4"/>
      <c r="C46" s="49"/>
      <c r="D46" s="3"/>
      <c r="E46" s="3"/>
      <c r="F46" s="38"/>
      <c r="G46" s="38"/>
      <c r="H46" s="38"/>
      <c r="I46" s="148"/>
      <c r="J46" s="148"/>
      <c r="K46" s="148"/>
      <c r="L46" s="148"/>
      <c r="M46" s="7"/>
      <c r="N46" s="23"/>
      <c r="O46" s="23">
        <v>2018</v>
      </c>
    </row>
    <row r="47" spans="1:15" s="144" customFormat="1" x14ac:dyDescent="0.3">
      <c r="B47" s="4"/>
      <c r="C47" s="49"/>
      <c r="D47" s="3"/>
      <c r="E47" s="3"/>
      <c r="F47" s="38"/>
      <c r="G47" s="38"/>
      <c r="H47" s="38"/>
      <c r="I47" s="148"/>
      <c r="J47" s="148"/>
      <c r="K47" s="148"/>
      <c r="L47" s="148"/>
      <c r="M47" s="7"/>
      <c r="N47" s="23"/>
      <c r="O47" s="23">
        <v>2018</v>
      </c>
    </row>
    <row r="48" spans="1:15" s="144" customFormat="1" x14ac:dyDescent="0.3">
      <c r="B48" s="4"/>
      <c r="C48" s="49"/>
      <c r="D48" s="3"/>
      <c r="E48" s="3"/>
      <c r="F48" s="38"/>
      <c r="G48" s="38"/>
      <c r="H48" s="38"/>
      <c r="I48" s="148"/>
      <c r="J48" s="148"/>
      <c r="K48" s="148"/>
      <c r="L48" s="148"/>
      <c r="M48" s="7"/>
      <c r="N48" s="23"/>
      <c r="O48" s="23"/>
    </row>
    <row r="49" spans="2:15" s="144" customFormat="1" x14ac:dyDescent="0.3">
      <c r="B49" s="4"/>
      <c r="C49" s="49"/>
      <c r="D49" s="3"/>
      <c r="E49" s="3"/>
      <c r="F49" s="38"/>
      <c r="G49" s="38"/>
      <c r="H49" s="38"/>
      <c r="I49" s="148"/>
      <c r="J49" s="148"/>
      <c r="K49" s="148"/>
      <c r="L49" s="148"/>
      <c r="M49" s="7"/>
      <c r="N49" s="23"/>
      <c r="O49" s="23"/>
    </row>
    <row r="50" spans="2:15" s="144" customFormat="1" x14ac:dyDescent="0.3">
      <c r="B50" s="24" t="s">
        <v>378</v>
      </c>
      <c r="C50" s="26"/>
      <c r="D50" s="26"/>
      <c r="E50" s="26"/>
      <c r="F50" s="26"/>
      <c r="G50" s="26"/>
      <c r="H50" s="26"/>
      <c r="I50" s="26"/>
      <c r="J50" s="85"/>
      <c r="K50" s="86"/>
      <c r="L50" s="86"/>
      <c r="M50" s="86"/>
      <c r="N50" s="23"/>
      <c r="O50" s="23">
        <v>2018</v>
      </c>
    </row>
    <row r="51" spans="2:15" s="144" customFormat="1" x14ac:dyDescent="0.3">
      <c r="B51" s="28" t="s">
        <v>0</v>
      </c>
      <c r="C51" s="29" t="s">
        <v>1</v>
      </c>
      <c r="D51" s="227" t="s">
        <v>2</v>
      </c>
      <c r="E51" s="227"/>
      <c r="F51" s="227"/>
      <c r="G51" s="30" t="s">
        <v>379</v>
      </c>
      <c r="H51" s="158" t="s">
        <v>7</v>
      </c>
      <c r="I51" s="158" t="s">
        <v>5</v>
      </c>
      <c r="J51" s="87" t="s">
        <v>4</v>
      </c>
      <c r="K51" s="87" t="s">
        <v>3</v>
      </c>
      <c r="L51" s="87" t="s">
        <v>174</v>
      </c>
      <c r="M51" s="87" t="s">
        <v>172</v>
      </c>
      <c r="N51" s="23"/>
      <c r="O51" s="23">
        <v>2018</v>
      </c>
    </row>
    <row r="52" spans="2:15" s="144" customFormat="1" x14ac:dyDescent="0.3">
      <c r="B52" s="16" t="s">
        <v>132</v>
      </c>
      <c r="C52" s="48" t="s">
        <v>33</v>
      </c>
      <c r="D52" s="5">
        <v>1</v>
      </c>
      <c r="E52" s="5">
        <v>10</v>
      </c>
      <c r="F52" s="145">
        <v>2007</v>
      </c>
      <c r="G52" s="145">
        <f t="shared" ref="G52" si="4">O52-F52</f>
        <v>11</v>
      </c>
      <c r="H52" s="145" t="s">
        <v>18</v>
      </c>
      <c r="I52" s="156" t="s">
        <v>365</v>
      </c>
      <c r="J52" s="37">
        <v>2018</v>
      </c>
      <c r="K52" s="143" t="s">
        <v>28</v>
      </c>
      <c r="L52" s="143">
        <v>1</v>
      </c>
      <c r="M52" s="159" t="s">
        <v>173</v>
      </c>
      <c r="N52" s="23"/>
      <c r="O52" s="23">
        <v>2018</v>
      </c>
    </row>
    <row r="53" spans="2:15" s="144" customFormat="1" ht="15" customHeight="1" x14ac:dyDescent="0.3">
      <c r="B53" s="146" t="s">
        <v>370</v>
      </c>
      <c r="C53" s="147" t="s">
        <v>195</v>
      </c>
      <c r="D53" s="145">
        <v>5</v>
      </c>
      <c r="E53" s="145">
        <v>3</v>
      </c>
      <c r="F53" s="145">
        <v>2007</v>
      </c>
      <c r="G53" s="145">
        <v>10</v>
      </c>
      <c r="H53" s="145" t="s">
        <v>18</v>
      </c>
      <c r="I53" s="156" t="s">
        <v>364</v>
      </c>
      <c r="J53" s="143">
        <v>2018</v>
      </c>
      <c r="K53" s="143" t="s">
        <v>29</v>
      </c>
      <c r="L53" s="242">
        <v>3</v>
      </c>
      <c r="M53" s="238" t="s">
        <v>273</v>
      </c>
      <c r="N53" s="23"/>
      <c r="O53" s="23">
        <v>2018</v>
      </c>
    </row>
    <row r="54" spans="2:15" s="144" customFormat="1" ht="15" customHeight="1" x14ac:dyDescent="0.3">
      <c r="B54" s="16" t="s">
        <v>148</v>
      </c>
      <c r="C54" s="48" t="s">
        <v>134</v>
      </c>
      <c r="D54" s="5">
        <v>28</v>
      </c>
      <c r="E54" s="5">
        <v>12</v>
      </c>
      <c r="F54" s="145">
        <v>2006</v>
      </c>
      <c r="G54" s="145">
        <f>O54-F54</f>
        <v>12</v>
      </c>
      <c r="H54" s="145" t="s">
        <v>18</v>
      </c>
      <c r="I54" s="156" t="s">
        <v>365</v>
      </c>
      <c r="J54" s="37">
        <v>2018</v>
      </c>
      <c r="K54" s="143" t="s">
        <v>29</v>
      </c>
      <c r="L54" s="240"/>
      <c r="M54" s="249"/>
      <c r="N54" s="23"/>
      <c r="O54" s="23">
        <v>2018</v>
      </c>
    </row>
    <row r="55" spans="2:15" s="144" customFormat="1" ht="15" customHeight="1" x14ac:dyDescent="0.3">
      <c r="B55" s="16" t="s">
        <v>135</v>
      </c>
      <c r="C55" s="48" t="s">
        <v>136</v>
      </c>
      <c r="D55" s="5">
        <v>27</v>
      </c>
      <c r="E55" s="5">
        <v>9</v>
      </c>
      <c r="F55" s="145">
        <v>2006</v>
      </c>
      <c r="G55" s="145">
        <f>O55-F55</f>
        <v>12</v>
      </c>
      <c r="H55" s="145" t="s">
        <v>18</v>
      </c>
      <c r="I55" s="156" t="s">
        <v>116</v>
      </c>
      <c r="J55" s="143">
        <v>2018</v>
      </c>
      <c r="K55" s="143" t="s">
        <v>29</v>
      </c>
      <c r="L55" s="241"/>
      <c r="M55" s="257"/>
      <c r="N55" s="23"/>
      <c r="O55" s="23">
        <v>2018</v>
      </c>
    </row>
    <row r="56" spans="2:15" s="144" customFormat="1" x14ac:dyDescent="0.3">
      <c r="B56" s="16" t="s">
        <v>138</v>
      </c>
      <c r="C56" s="48" t="s">
        <v>137</v>
      </c>
      <c r="D56" s="5">
        <v>21</v>
      </c>
      <c r="E56" s="5">
        <v>2</v>
      </c>
      <c r="F56" s="145">
        <v>2006</v>
      </c>
      <c r="G56" s="145">
        <f t="shared" ref="G56:G59" si="5">O56-F56</f>
        <v>12</v>
      </c>
      <c r="H56" s="145" t="s">
        <v>18</v>
      </c>
      <c r="I56" s="156" t="s">
        <v>364</v>
      </c>
      <c r="J56" s="37">
        <v>2018</v>
      </c>
      <c r="K56" s="143" t="s">
        <v>31</v>
      </c>
      <c r="L56" s="242">
        <v>2</v>
      </c>
      <c r="M56" s="239" t="s">
        <v>275</v>
      </c>
      <c r="N56" s="23"/>
      <c r="O56" s="23">
        <v>2018</v>
      </c>
    </row>
    <row r="57" spans="2:15" s="144" customFormat="1" x14ac:dyDescent="0.3">
      <c r="B57" s="16" t="s">
        <v>118</v>
      </c>
      <c r="C57" s="48" t="s">
        <v>89</v>
      </c>
      <c r="D57" s="5">
        <v>18</v>
      </c>
      <c r="E57" s="5">
        <v>9</v>
      </c>
      <c r="F57" s="145">
        <v>2005</v>
      </c>
      <c r="G57" s="145">
        <f t="shared" si="5"/>
        <v>13</v>
      </c>
      <c r="H57" s="145" t="s">
        <v>18</v>
      </c>
      <c r="I57" s="156" t="s">
        <v>116</v>
      </c>
      <c r="J57" s="143">
        <v>2018</v>
      </c>
      <c r="K57" s="143" t="s">
        <v>31</v>
      </c>
      <c r="L57" s="237"/>
      <c r="M57" s="239"/>
      <c r="N57" s="23"/>
      <c r="O57" s="23">
        <v>2018</v>
      </c>
    </row>
    <row r="58" spans="2:15" s="144" customFormat="1" x14ac:dyDescent="0.3">
      <c r="B58" s="16" t="s">
        <v>128</v>
      </c>
      <c r="C58" s="48" t="s">
        <v>139</v>
      </c>
      <c r="D58" s="5">
        <v>22</v>
      </c>
      <c r="E58" s="5">
        <v>11</v>
      </c>
      <c r="F58" s="145">
        <v>2004</v>
      </c>
      <c r="G58" s="145">
        <f t="shared" si="5"/>
        <v>14</v>
      </c>
      <c r="H58" s="145" t="s">
        <v>18</v>
      </c>
      <c r="I58" s="156" t="s">
        <v>130</v>
      </c>
      <c r="J58" s="37">
        <v>2018</v>
      </c>
      <c r="K58" s="143" t="s">
        <v>44</v>
      </c>
      <c r="L58" s="242">
        <v>2</v>
      </c>
      <c r="M58" s="239" t="s">
        <v>381</v>
      </c>
      <c r="N58" s="23"/>
      <c r="O58" s="23">
        <v>2018</v>
      </c>
    </row>
    <row r="59" spans="2:15" s="144" customFormat="1" x14ac:dyDescent="0.3">
      <c r="B59" s="16" t="s">
        <v>140</v>
      </c>
      <c r="C59" s="48" t="s">
        <v>141</v>
      </c>
      <c r="D59" s="5">
        <v>17</v>
      </c>
      <c r="E59" s="5">
        <v>12</v>
      </c>
      <c r="F59" s="145">
        <v>2004</v>
      </c>
      <c r="G59" s="145">
        <f t="shared" si="5"/>
        <v>14</v>
      </c>
      <c r="H59" s="145" t="s">
        <v>18</v>
      </c>
      <c r="I59" s="156" t="s">
        <v>365</v>
      </c>
      <c r="J59" s="143">
        <v>2018</v>
      </c>
      <c r="K59" s="143" t="s">
        <v>44</v>
      </c>
      <c r="L59" s="241"/>
      <c r="M59" s="239"/>
      <c r="N59" s="23"/>
      <c r="O59" s="23">
        <v>2018</v>
      </c>
    </row>
    <row r="60" spans="2:15" s="144" customFormat="1" ht="15" customHeight="1" x14ac:dyDescent="0.3">
      <c r="K60" s="50"/>
      <c r="L60" s="50"/>
      <c r="M60" s="50"/>
      <c r="N60" s="23"/>
      <c r="O60" s="23">
        <v>2018</v>
      </c>
    </row>
    <row r="61" spans="2:15" s="144" customFormat="1" x14ac:dyDescent="0.3">
      <c r="K61" s="50"/>
      <c r="L61" s="50"/>
      <c r="M61" s="50"/>
      <c r="N61" s="23"/>
      <c r="O61" s="23">
        <v>2018</v>
      </c>
    </row>
    <row r="62" spans="2:15" s="144" customFormat="1" x14ac:dyDescent="0.3">
      <c r="K62" s="50"/>
      <c r="L62" s="50"/>
      <c r="M62" s="50" t="s">
        <v>192</v>
      </c>
      <c r="N62" s="23"/>
      <c r="O62" s="23">
        <v>2018</v>
      </c>
    </row>
    <row r="63" spans="2:15" s="144" customFormat="1" x14ac:dyDescent="0.3">
      <c r="B63" s="24" t="s">
        <v>377</v>
      </c>
      <c r="C63" s="20"/>
      <c r="M63" s="144" t="s">
        <v>192</v>
      </c>
      <c r="N63" s="23"/>
      <c r="O63" s="23">
        <v>2018</v>
      </c>
    </row>
    <row r="64" spans="2:15" s="144" customFormat="1" x14ac:dyDescent="0.3">
      <c r="B64" s="28" t="s">
        <v>0</v>
      </c>
      <c r="C64" s="29" t="s">
        <v>1</v>
      </c>
      <c r="D64" s="227" t="s">
        <v>2</v>
      </c>
      <c r="E64" s="227"/>
      <c r="F64" s="227"/>
      <c r="G64" s="30" t="s">
        <v>379</v>
      </c>
      <c r="H64" s="158" t="s">
        <v>7</v>
      </c>
      <c r="I64" s="158" t="s">
        <v>5</v>
      </c>
      <c r="J64" s="158" t="s">
        <v>4</v>
      </c>
      <c r="K64" s="158" t="s">
        <v>3</v>
      </c>
      <c r="L64" s="31"/>
      <c r="M64" s="144" t="s">
        <v>192</v>
      </c>
      <c r="N64" s="23"/>
      <c r="O64" s="23">
        <v>2018</v>
      </c>
    </row>
    <row r="65" spans="2:15" s="144" customFormat="1" x14ac:dyDescent="0.3">
      <c r="B65" s="146" t="s">
        <v>176</v>
      </c>
      <c r="C65" s="147" t="s">
        <v>139</v>
      </c>
      <c r="D65" s="145">
        <v>25</v>
      </c>
      <c r="E65" s="145">
        <v>4</v>
      </c>
      <c r="F65" s="145">
        <v>2014</v>
      </c>
      <c r="G65" s="145">
        <f>O21-F65</f>
        <v>4</v>
      </c>
      <c r="H65" s="41" t="s">
        <v>11</v>
      </c>
      <c r="I65" s="156" t="s">
        <v>366</v>
      </c>
      <c r="J65" s="145">
        <v>2018</v>
      </c>
      <c r="K65" s="145" t="s">
        <v>12</v>
      </c>
      <c r="L65" s="31"/>
      <c r="N65" s="23"/>
      <c r="O65" s="23">
        <v>2018</v>
      </c>
    </row>
    <row r="66" spans="2:15" s="144" customFormat="1" x14ac:dyDescent="0.3">
      <c r="B66" s="33" t="s">
        <v>157</v>
      </c>
      <c r="C66" s="34" t="s">
        <v>84</v>
      </c>
      <c r="D66" s="35">
        <v>26</v>
      </c>
      <c r="E66" s="35">
        <v>11</v>
      </c>
      <c r="F66" s="35">
        <v>2013</v>
      </c>
      <c r="G66" s="145">
        <f t="shared" ref="G66:G76" si="6">O66-F66</f>
        <v>5</v>
      </c>
      <c r="H66" s="44" t="s">
        <v>11</v>
      </c>
      <c r="I66" s="156" t="s">
        <v>366</v>
      </c>
      <c r="J66" s="145">
        <v>2018</v>
      </c>
      <c r="K66" s="145" t="s">
        <v>12</v>
      </c>
      <c r="L66" s="31"/>
      <c r="N66" s="23"/>
      <c r="O66" s="23">
        <v>2018</v>
      </c>
    </row>
    <row r="67" spans="2:15" s="144" customFormat="1" x14ac:dyDescent="0.3">
      <c r="B67" s="33" t="s">
        <v>153</v>
      </c>
      <c r="C67" s="34" t="s">
        <v>154</v>
      </c>
      <c r="D67" s="44">
        <v>12</v>
      </c>
      <c r="E67" s="44">
        <v>7</v>
      </c>
      <c r="F67" s="44">
        <v>2012</v>
      </c>
      <c r="G67" s="145">
        <f t="shared" si="6"/>
        <v>6</v>
      </c>
      <c r="H67" s="44" t="s">
        <v>11</v>
      </c>
      <c r="I67" s="156" t="s">
        <v>116</v>
      </c>
      <c r="J67" s="143">
        <v>2018</v>
      </c>
      <c r="K67" s="143" t="s">
        <v>22</v>
      </c>
      <c r="L67" s="31"/>
      <c r="N67" s="23"/>
      <c r="O67" s="23">
        <v>2018</v>
      </c>
    </row>
    <row r="68" spans="2:15" s="144" customFormat="1" x14ac:dyDescent="0.3">
      <c r="B68" s="43" t="s">
        <v>149</v>
      </c>
      <c r="C68" s="34" t="s">
        <v>150</v>
      </c>
      <c r="D68" s="44">
        <v>3</v>
      </c>
      <c r="E68" s="44">
        <v>1</v>
      </c>
      <c r="F68" s="44">
        <v>2012</v>
      </c>
      <c r="G68" s="145">
        <f t="shared" si="6"/>
        <v>6</v>
      </c>
      <c r="H68" s="44" t="s">
        <v>11</v>
      </c>
      <c r="I68" s="156" t="s">
        <v>116</v>
      </c>
      <c r="J68" s="37">
        <v>2018</v>
      </c>
      <c r="K68" s="143" t="s">
        <v>24</v>
      </c>
      <c r="L68" s="38"/>
      <c r="N68" s="23"/>
      <c r="O68" s="23">
        <v>2018</v>
      </c>
    </row>
    <row r="69" spans="2:15" s="144" customFormat="1" x14ac:dyDescent="0.3">
      <c r="B69" s="16" t="s">
        <v>79</v>
      </c>
      <c r="C69" s="48" t="s">
        <v>371</v>
      </c>
      <c r="D69" s="5">
        <v>18</v>
      </c>
      <c r="E69" s="5">
        <v>6</v>
      </c>
      <c r="F69" s="145">
        <v>2011</v>
      </c>
      <c r="G69" s="145">
        <f>O69-F69</f>
        <v>7</v>
      </c>
      <c r="H69" s="41" t="s">
        <v>11</v>
      </c>
      <c r="I69" s="156" t="s">
        <v>365</v>
      </c>
      <c r="J69" s="143">
        <v>2018</v>
      </c>
      <c r="K69" s="143" t="s">
        <v>25</v>
      </c>
      <c r="L69" s="38"/>
      <c r="N69" s="23"/>
      <c r="O69" s="23">
        <v>2018</v>
      </c>
    </row>
    <row r="70" spans="2:15" s="144" customFormat="1" x14ac:dyDescent="0.3">
      <c r="B70" s="51" t="s">
        <v>175</v>
      </c>
      <c r="C70" s="147" t="s">
        <v>372</v>
      </c>
      <c r="D70" s="52">
        <v>5</v>
      </c>
      <c r="E70" s="145">
        <v>12</v>
      </c>
      <c r="F70" s="145">
        <v>2010</v>
      </c>
      <c r="G70" s="145">
        <f t="shared" si="6"/>
        <v>8</v>
      </c>
      <c r="H70" s="41" t="s">
        <v>11</v>
      </c>
      <c r="I70" s="156" t="s">
        <v>116</v>
      </c>
      <c r="J70" s="37">
        <v>2018</v>
      </c>
      <c r="K70" s="143" t="s">
        <v>25</v>
      </c>
      <c r="N70" s="23"/>
      <c r="O70" s="23">
        <v>2018</v>
      </c>
    </row>
    <row r="71" spans="2:15" s="144" customFormat="1" x14ac:dyDescent="0.3">
      <c r="B71" s="16" t="s">
        <v>233</v>
      </c>
      <c r="C71" s="48" t="s">
        <v>274</v>
      </c>
      <c r="D71" s="5">
        <v>10</v>
      </c>
      <c r="E71" s="5">
        <v>3</v>
      </c>
      <c r="F71" s="145">
        <v>2010</v>
      </c>
      <c r="G71" s="145">
        <f>O71-F71</f>
        <v>8</v>
      </c>
      <c r="H71" s="41" t="s">
        <v>11</v>
      </c>
      <c r="I71" s="156" t="s">
        <v>366</v>
      </c>
      <c r="J71" s="143">
        <v>2018</v>
      </c>
      <c r="K71" s="143" t="s">
        <v>30</v>
      </c>
      <c r="N71" s="23"/>
      <c r="O71" s="23">
        <v>2018</v>
      </c>
    </row>
    <row r="72" spans="2:15" s="144" customFormat="1" x14ac:dyDescent="0.3">
      <c r="B72" s="51" t="s">
        <v>176</v>
      </c>
      <c r="C72" s="147" t="s">
        <v>373</v>
      </c>
      <c r="D72" s="52">
        <v>12</v>
      </c>
      <c r="E72" s="145">
        <v>2</v>
      </c>
      <c r="F72" s="145">
        <v>2010</v>
      </c>
      <c r="G72" s="145">
        <f t="shared" si="6"/>
        <v>8</v>
      </c>
      <c r="H72" s="41" t="s">
        <v>11</v>
      </c>
      <c r="I72" s="156" t="s">
        <v>366</v>
      </c>
      <c r="J72" s="37">
        <v>2018</v>
      </c>
      <c r="K72" s="143" t="s">
        <v>30</v>
      </c>
      <c r="L72" s="50"/>
      <c r="M72" s="50"/>
      <c r="N72" s="23"/>
      <c r="O72" s="23">
        <v>2018</v>
      </c>
    </row>
    <row r="73" spans="2:15" s="144" customFormat="1" x14ac:dyDescent="0.3">
      <c r="B73" s="51" t="s">
        <v>177</v>
      </c>
      <c r="C73" s="147" t="s">
        <v>84</v>
      </c>
      <c r="D73" s="52">
        <v>31</v>
      </c>
      <c r="E73" s="145">
        <v>1</v>
      </c>
      <c r="F73" s="145">
        <v>2010</v>
      </c>
      <c r="G73" s="145">
        <f t="shared" si="6"/>
        <v>8</v>
      </c>
      <c r="H73" s="41" t="s">
        <v>11</v>
      </c>
      <c r="I73" s="156" t="s">
        <v>130</v>
      </c>
      <c r="J73" s="143">
        <v>2018</v>
      </c>
      <c r="K73" s="143" t="s">
        <v>30</v>
      </c>
      <c r="L73" s="50"/>
      <c r="M73" s="50"/>
      <c r="N73" s="23"/>
      <c r="O73" s="23">
        <v>2018</v>
      </c>
    </row>
    <row r="74" spans="2:15" s="144" customFormat="1" x14ac:dyDescent="0.3">
      <c r="B74" s="51" t="s">
        <v>178</v>
      </c>
      <c r="C74" s="147" t="s">
        <v>17</v>
      </c>
      <c r="D74" s="52">
        <v>10</v>
      </c>
      <c r="E74" s="145">
        <v>2</v>
      </c>
      <c r="F74" s="145">
        <v>2008</v>
      </c>
      <c r="G74" s="145">
        <f t="shared" si="6"/>
        <v>10</v>
      </c>
      <c r="H74" s="41" t="s">
        <v>11</v>
      </c>
      <c r="I74" s="156" t="s">
        <v>367</v>
      </c>
      <c r="J74" s="37">
        <v>2018</v>
      </c>
      <c r="K74" s="143" t="s">
        <v>28</v>
      </c>
      <c r="L74" s="50"/>
      <c r="M74" s="50"/>
      <c r="N74" s="23"/>
      <c r="O74" s="23">
        <v>2018</v>
      </c>
    </row>
    <row r="75" spans="2:15" s="144" customFormat="1" x14ac:dyDescent="0.3">
      <c r="B75" s="146" t="s">
        <v>196</v>
      </c>
      <c r="C75" s="147" t="s">
        <v>133</v>
      </c>
      <c r="D75" s="145">
        <v>29</v>
      </c>
      <c r="E75" s="145">
        <v>1</v>
      </c>
      <c r="F75" s="145">
        <v>2007</v>
      </c>
      <c r="G75" s="145">
        <f t="shared" si="6"/>
        <v>11</v>
      </c>
      <c r="H75" s="41" t="s">
        <v>11</v>
      </c>
      <c r="I75" s="156" t="s">
        <v>366</v>
      </c>
      <c r="J75" s="143">
        <v>2018</v>
      </c>
      <c r="K75" s="143" t="s">
        <v>29</v>
      </c>
      <c r="L75" s="50"/>
      <c r="M75" s="50"/>
      <c r="N75" s="23"/>
      <c r="O75" s="23">
        <v>2018</v>
      </c>
    </row>
    <row r="76" spans="2:15" s="144" customFormat="1" x14ac:dyDescent="0.3">
      <c r="B76" s="51" t="s">
        <v>159</v>
      </c>
      <c r="C76" s="147" t="s">
        <v>84</v>
      </c>
      <c r="D76" s="52">
        <v>24</v>
      </c>
      <c r="E76" s="145">
        <v>10</v>
      </c>
      <c r="F76" s="145">
        <v>2006</v>
      </c>
      <c r="G76" s="145">
        <f t="shared" si="6"/>
        <v>12</v>
      </c>
      <c r="H76" s="41" t="s">
        <v>11</v>
      </c>
      <c r="I76" s="156" t="s">
        <v>116</v>
      </c>
      <c r="J76" s="37">
        <v>2018</v>
      </c>
      <c r="K76" s="143" t="s">
        <v>29</v>
      </c>
      <c r="L76" s="50"/>
      <c r="M76" s="50"/>
      <c r="N76" s="23"/>
      <c r="O76" s="23">
        <v>2018</v>
      </c>
    </row>
    <row r="77" spans="2:15" s="144" customFormat="1" x14ac:dyDescent="0.3">
      <c r="K77" s="50"/>
      <c r="L77" s="50"/>
      <c r="M77" s="50"/>
      <c r="N77" s="23"/>
      <c r="O77" s="23">
        <v>2018</v>
      </c>
    </row>
    <row r="78" spans="2:15" s="144" customFormat="1" x14ac:dyDescent="0.3">
      <c r="K78" s="50"/>
      <c r="L78" s="50"/>
      <c r="M78" s="50"/>
      <c r="N78" s="23"/>
      <c r="O78" s="23">
        <v>2018</v>
      </c>
    </row>
    <row r="79" spans="2:15" s="144" customFormat="1" x14ac:dyDescent="0.3">
      <c r="B79" s="81" t="s">
        <v>228</v>
      </c>
      <c r="D79" s="80" t="s">
        <v>401</v>
      </c>
      <c r="K79" s="50"/>
      <c r="L79" s="50"/>
      <c r="M79" s="50"/>
      <c r="N79" s="23"/>
      <c r="O79" s="23">
        <v>2018</v>
      </c>
    </row>
    <row r="80" spans="2:15" s="144" customFormat="1" x14ac:dyDescent="0.3">
      <c r="B80" s="81" t="s">
        <v>229</v>
      </c>
      <c r="D80" s="80" t="s">
        <v>227</v>
      </c>
      <c r="L80" s="50"/>
      <c r="M80" s="50"/>
      <c r="N80" s="23"/>
      <c r="O80" s="23">
        <v>2018</v>
      </c>
    </row>
    <row r="81" spans="2:15" s="144" customFormat="1" x14ac:dyDescent="0.3">
      <c r="B81" s="81"/>
      <c r="D81" s="79" t="s">
        <v>226</v>
      </c>
      <c r="L81" s="50"/>
      <c r="M81" s="50"/>
      <c r="N81" s="23"/>
      <c r="O81" s="23">
        <v>2018</v>
      </c>
    </row>
    <row r="82" spans="2:15" s="144" customFormat="1" x14ac:dyDescent="0.3">
      <c r="K82" s="50"/>
      <c r="L82" s="50"/>
      <c r="M82" s="50"/>
      <c r="N82" s="23"/>
      <c r="O82" s="23">
        <v>2018</v>
      </c>
    </row>
    <row r="83" spans="2:15" s="144" customFormat="1" x14ac:dyDescent="0.3">
      <c r="K83" s="50"/>
      <c r="L83" s="50"/>
      <c r="M83" s="50"/>
      <c r="N83" s="23"/>
      <c r="O83" s="23"/>
    </row>
    <row r="84" spans="2:15" s="144" customFormat="1" x14ac:dyDescent="0.3">
      <c r="K84" s="50"/>
      <c r="L84" s="50"/>
      <c r="M84" s="50"/>
      <c r="N84" s="23"/>
      <c r="O84" s="23"/>
    </row>
    <row r="85" spans="2:15" s="144" customFormat="1" x14ac:dyDescent="0.3">
      <c r="K85" s="50"/>
      <c r="L85" s="50"/>
      <c r="M85" s="50"/>
      <c r="N85" s="23"/>
      <c r="O85" s="23"/>
    </row>
    <row r="86" spans="2:15" s="144" customFormat="1" x14ac:dyDescent="0.3">
      <c r="K86" s="50"/>
      <c r="L86" s="50"/>
      <c r="M86" s="50"/>
      <c r="N86" s="23"/>
      <c r="O86" s="23"/>
    </row>
    <row r="87" spans="2:15" x14ac:dyDescent="0.3">
      <c r="B87" s="81"/>
      <c r="C87" s="144"/>
      <c r="D87" s="144"/>
      <c r="E87" s="144"/>
      <c r="F87" s="144"/>
      <c r="G87" s="144"/>
      <c r="H87" s="144"/>
      <c r="I87" s="144"/>
      <c r="J87" s="144"/>
      <c r="K87" s="21"/>
      <c r="O87" s="23">
        <v>2017</v>
      </c>
    </row>
    <row r="88" spans="2:15" x14ac:dyDescent="0.3">
      <c r="I88" s="144"/>
      <c r="K88" s="21"/>
      <c r="O88" s="23">
        <v>2017</v>
      </c>
    </row>
    <row r="89" spans="2:15" x14ac:dyDescent="0.3">
      <c r="I89" s="144"/>
      <c r="O89" s="23">
        <v>2017</v>
      </c>
    </row>
    <row r="90" spans="2:15" x14ac:dyDescent="0.3">
      <c r="I90" s="144"/>
      <c r="O90" s="23">
        <v>2017</v>
      </c>
    </row>
    <row r="91" spans="2:15" x14ac:dyDescent="0.3">
      <c r="I91" s="144"/>
      <c r="O91" s="23">
        <v>2017</v>
      </c>
    </row>
    <row r="92" spans="2:15" x14ac:dyDescent="0.3">
      <c r="I92" s="144"/>
      <c r="K92" s="21"/>
      <c r="O92" s="23">
        <v>2017</v>
      </c>
    </row>
    <row r="93" spans="2:15" x14ac:dyDescent="0.3">
      <c r="I93" s="144"/>
      <c r="O93" s="23">
        <v>2017</v>
      </c>
    </row>
    <row r="94" spans="2:15" x14ac:dyDescent="0.3">
      <c r="B94" s="21" t="s">
        <v>192</v>
      </c>
      <c r="I94" s="144"/>
      <c r="O94" s="23">
        <v>2017</v>
      </c>
    </row>
    <row r="95" spans="2:15" x14ac:dyDescent="0.3">
      <c r="I95" s="144"/>
      <c r="K95" s="21"/>
      <c r="L95" s="50" t="s">
        <v>192</v>
      </c>
      <c r="O95" s="23">
        <v>2017</v>
      </c>
    </row>
    <row r="96" spans="2:15" x14ac:dyDescent="0.3">
      <c r="I96" s="144"/>
      <c r="O96" s="23">
        <v>2017</v>
      </c>
    </row>
    <row r="97" spans="6:15" x14ac:dyDescent="0.3">
      <c r="I97" s="144"/>
      <c r="K97" s="21"/>
      <c r="O97" s="23">
        <v>2017</v>
      </c>
    </row>
    <row r="98" spans="6:15" x14ac:dyDescent="0.3">
      <c r="F98" s="21" t="s">
        <v>192</v>
      </c>
      <c r="I98" s="144"/>
      <c r="O98" s="23">
        <v>2017</v>
      </c>
    </row>
    <row r="99" spans="6:15" x14ac:dyDescent="0.3">
      <c r="I99" s="144"/>
      <c r="O99" s="23">
        <v>2017</v>
      </c>
    </row>
    <row r="100" spans="6:15" x14ac:dyDescent="0.3">
      <c r="I100" s="144"/>
      <c r="O100" s="23">
        <v>2017</v>
      </c>
    </row>
    <row r="101" spans="6:15" x14ac:dyDescent="0.3">
      <c r="I101" s="144"/>
      <c r="O101" s="23">
        <v>2017</v>
      </c>
    </row>
    <row r="102" spans="6:15" x14ac:dyDescent="0.3">
      <c r="I102" s="144"/>
      <c r="O102" s="23">
        <v>2017</v>
      </c>
    </row>
    <row r="103" spans="6:15" x14ac:dyDescent="0.3">
      <c r="I103" s="144"/>
      <c r="O103" s="23">
        <v>2017</v>
      </c>
    </row>
    <row r="104" spans="6:15" x14ac:dyDescent="0.3">
      <c r="I104" s="144"/>
      <c r="O104" s="23">
        <v>2017</v>
      </c>
    </row>
    <row r="105" spans="6:15" x14ac:dyDescent="0.3">
      <c r="I105" s="144"/>
      <c r="O105" s="23">
        <v>2017</v>
      </c>
    </row>
    <row r="106" spans="6:15" x14ac:dyDescent="0.3">
      <c r="I106" s="144"/>
      <c r="O106" s="23">
        <v>2017</v>
      </c>
    </row>
    <row r="107" spans="6:15" x14ac:dyDescent="0.3">
      <c r="I107" s="144"/>
      <c r="O107" s="23">
        <v>2017</v>
      </c>
    </row>
    <row r="108" spans="6:15" x14ac:dyDescent="0.3">
      <c r="I108" s="144"/>
      <c r="O108" s="23">
        <v>2017</v>
      </c>
    </row>
    <row r="109" spans="6:15" x14ac:dyDescent="0.3">
      <c r="I109" s="144"/>
      <c r="O109" s="23">
        <v>2017</v>
      </c>
    </row>
    <row r="110" spans="6:15" x14ac:dyDescent="0.3">
      <c r="I110" s="144"/>
      <c r="O110" s="23">
        <v>2017</v>
      </c>
    </row>
    <row r="111" spans="6:15" x14ac:dyDescent="0.3">
      <c r="I111" s="144"/>
      <c r="O111" s="23">
        <v>2017</v>
      </c>
    </row>
    <row r="112" spans="6:15" x14ac:dyDescent="0.3">
      <c r="I112" s="144"/>
      <c r="O112" s="23">
        <v>2017</v>
      </c>
    </row>
    <row r="113" spans="9:15" x14ac:dyDescent="0.3">
      <c r="I113" s="144"/>
      <c r="O113" s="23">
        <v>2017</v>
      </c>
    </row>
    <row r="114" spans="9:15" x14ac:dyDescent="0.3">
      <c r="I114" s="144"/>
      <c r="O114" s="23">
        <v>2017</v>
      </c>
    </row>
    <row r="115" spans="9:15" x14ac:dyDescent="0.3">
      <c r="I115" s="144"/>
      <c r="O115" s="23">
        <v>2017</v>
      </c>
    </row>
    <row r="116" spans="9:15" x14ac:dyDescent="0.3">
      <c r="I116" s="144"/>
      <c r="O116" s="23">
        <v>2017</v>
      </c>
    </row>
    <row r="117" spans="9:15" x14ac:dyDescent="0.3">
      <c r="I117" s="144"/>
      <c r="O117" s="23">
        <v>2017</v>
      </c>
    </row>
    <row r="118" spans="9:15" x14ac:dyDescent="0.3">
      <c r="I118" s="144"/>
      <c r="O118" s="23">
        <v>2017</v>
      </c>
    </row>
    <row r="119" spans="9:15" x14ac:dyDescent="0.3">
      <c r="I119" s="144"/>
      <c r="O119" s="23">
        <v>2017</v>
      </c>
    </row>
    <row r="120" spans="9:15" x14ac:dyDescent="0.3">
      <c r="I120" s="144"/>
      <c r="O120" s="23">
        <v>2017</v>
      </c>
    </row>
    <row r="121" spans="9:15" x14ac:dyDescent="0.3">
      <c r="I121" s="144"/>
      <c r="O121" s="23">
        <v>2017</v>
      </c>
    </row>
    <row r="122" spans="9:15" x14ac:dyDescent="0.3">
      <c r="I122" s="144"/>
      <c r="O122" s="23">
        <v>2017</v>
      </c>
    </row>
    <row r="123" spans="9:15" x14ac:dyDescent="0.3">
      <c r="I123" s="144"/>
      <c r="O123" s="23">
        <v>2017</v>
      </c>
    </row>
    <row r="124" spans="9:15" x14ac:dyDescent="0.3">
      <c r="I124" s="144"/>
      <c r="O124" s="23">
        <v>2017</v>
      </c>
    </row>
    <row r="125" spans="9:15" x14ac:dyDescent="0.3">
      <c r="I125" s="144"/>
      <c r="O125" s="23">
        <v>2017</v>
      </c>
    </row>
    <row r="126" spans="9:15" x14ac:dyDescent="0.3">
      <c r="I126" s="144"/>
      <c r="O126" s="23">
        <v>2017</v>
      </c>
    </row>
    <row r="127" spans="9:15" x14ac:dyDescent="0.3">
      <c r="I127" s="144"/>
      <c r="O127" s="23">
        <v>2017</v>
      </c>
    </row>
    <row r="128" spans="9:15" x14ac:dyDescent="0.3">
      <c r="I128" s="144"/>
      <c r="O128" s="23">
        <v>2017</v>
      </c>
    </row>
    <row r="129" spans="9:15" x14ac:dyDescent="0.3">
      <c r="I129" s="144"/>
      <c r="O129" s="23">
        <v>2017</v>
      </c>
    </row>
    <row r="130" spans="9:15" x14ac:dyDescent="0.3">
      <c r="I130" s="144"/>
      <c r="O130" s="23">
        <v>2017</v>
      </c>
    </row>
    <row r="131" spans="9:15" x14ac:dyDescent="0.3">
      <c r="I131" s="144"/>
      <c r="O131" s="23">
        <v>2017</v>
      </c>
    </row>
    <row r="132" spans="9:15" x14ac:dyDescent="0.3">
      <c r="I132" s="144"/>
      <c r="O132" s="23">
        <v>2017</v>
      </c>
    </row>
    <row r="133" spans="9:15" x14ac:dyDescent="0.3">
      <c r="I133" s="144"/>
      <c r="O133" s="23">
        <v>2017</v>
      </c>
    </row>
    <row r="134" spans="9:15" x14ac:dyDescent="0.3">
      <c r="I134" s="144"/>
      <c r="O134" s="23">
        <v>2017</v>
      </c>
    </row>
    <row r="135" spans="9:15" x14ac:dyDescent="0.3">
      <c r="I135" s="144"/>
      <c r="O135" s="23">
        <v>2017</v>
      </c>
    </row>
    <row r="136" spans="9:15" x14ac:dyDescent="0.3">
      <c r="I136" s="144"/>
      <c r="O136" s="23">
        <v>2017</v>
      </c>
    </row>
    <row r="137" spans="9:15" x14ac:dyDescent="0.3">
      <c r="I137" s="144"/>
      <c r="O137" s="23">
        <v>2017</v>
      </c>
    </row>
    <row r="138" spans="9:15" x14ac:dyDescent="0.3">
      <c r="I138" s="144"/>
      <c r="O138" s="23">
        <v>2017</v>
      </c>
    </row>
    <row r="139" spans="9:15" x14ac:dyDescent="0.3">
      <c r="I139" s="144"/>
      <c r="O139" s="23">
        <v>2017</v>
      </c>
    </row>
    <row r="140" spans="9:15" x14ac:dyDescent="0.3">
      <c r="I140" s="144"/>
      <c r="O140" s="23">
        <v>2017</v>
      </c>
    </row>
    <row r="141" spans="9:15" x14ac:dyDescent="0.3">
      <c r="I141" s="144"/>
      <c r="O141" s="23">
        <v>2017</v>
      </c>
    </row>
    <row r="142" spans="9:15" x14ac:dyDescent="0.3">
      <c r="I142" s="144"/>
      <c r="O142" s="23">
        <v>2017</v>
      </c>
    </row>
    <row r="143" spans="9:15" x14ac:dyDescent="0.3">
      <c r="I143" s="144"/>
      <c r="O143" s="23">
        <v>2017</v>
      </c>
    </row>
    <row r="144" spans="9:15" x14ac:dyDescent="0.3">
      <c r="I144" s="144"/>
      <c r="O144" s="23">
        <v>2017</v>
      </c>
    </row>
    <row r="145" spans="9:15" x14ac:dyDescent="0.3">
      <c r="I145" s="144"/>
      <c r="O145" s="23">
        <v>2017</v>
      </c>
    </row>
    <row r="146" spans="9:15" x14ac:dyDescent="0.3">
      <c r="O146" s="23">
        <v>2017</v>
      </c>
    </row>
    <row r="147" spans="9:15" x14ac:dyDescent="0.3">
      <c r="O147" s="23">
        <v>2017</v>
      </c>
    </row>
    <row r="148" spans="9:15" x14ac:dyDescent="0.3">
      <c r="O148" s="23">
        <v>2017</v>
      </c>
    </row>
    <row r="149" spans="9:15" x14ac:dyDescent="0.3">
      <c r="O149" s="23">
        <v>2017</v>
      </c>
    </row>
    <row r="150" spans="9:15" x14ac:dyDescent="0.3">
      <c r="O150" s="23">
        <v>2017</v>
      </c>
    </row>
    <row r="151" spans="9:15" x14ac:dyDescent="0.3">
      <c r="O151" s="23">
        <v>2017</v>
      </c>
    </row>
    <row r="152" spans="9:15" x14ac:dyDescent="0.3">
      <c r="O152" s="23">
        <v>2017</v>
      </c>
    </row>
    <row r="153" spans="9:15" x14ac:dyDescent="0.3">
      <c r="O153" s="23">
        <v>2017</v>
      </c>
    </row>
    <row r="154" spans="9:15" x14ac:dyDescent="0.3">
      <c r="O154" s="23">
        <v>2017</v>
      </c>
    </row>
    <row r="155" spans="9:15" x14ac:dyDescent="0.3">
      <c r="O155" s="23">
        <v>2017</v>
      </c>
    </row>
    <row r="156" spans="9:15" x14ac:dyDescent="0.3">
      <c r="O156" s="23">
        <v>2017</v>
      </c>
    </row>
    <row r="157" spans="9:15" x14ac:dyDescent="0.3">
      <c r="O157" s="23">
        <v>2017</v>
      </c>
    </row>
    <row r="158" spans="9:15" x14ac:dyDescent="0.3">
      <c r="O158" s="23">
        <v>2017</v>
      </c>
    </row>
    <row r="159" spans="9:15" x14ac:dyDescent="0.3">
      <c r="O159" s="23">
        <v>2017</v>
      </c>
    </row>
  </sheetData>
  <sheetProtection algorithmName="SHA-512" hashValue="9lG8lCuxrs3S/Mnj9GYVQfk4oqJ/S2UkbyDjhzUClVLZZWrJnKzc8XQNPBVz3W4kGzt3hZusr8wCnCUIGiOYbw==" saltValue="U+immEziyR+XUTaGv6AFGA==" spinCount="100000" sheet="1" objects="1" scenarios="1"/>
  <mergeCells count="17">
    <mergeCell ref="L58:L59"/>
    <mergeCell ref="D64:F64"/>
    <mergeCell ref="I4:J4"/>
    <mergeCell ref="L21:L23"/>
    <mergeCell ref="M58:M59"/>
    <mergeCell ref="D6:F6"/>
    <mergeCell ref="D20:F20"/>
    <mergeCell ref="L30:L32"/>
    <mergeCell ref="L33:L40"/>
    <mergeCell ref="D51:F51"/>
    <mergeCell ref="L53:L55"/>
    <mergeCell ref="M21:M27"/>
    <mergeCell ref="L24:L27"/>
    <mergeCell ref="M28:M40"/>
    <mergeCell ref="M53:M55"/>
    <mergeCell ref="M56:M57"/>
    <mergeCell ref="L56:L57"/>
  </mergeCells>
  <dataValidations disablePrompts="1" count="4">
    <dataValidation type="date" allowBlank="1" showInputMessage="1" showErrorMessage="1" error="Verificar fecha de nacimiento" prompt="La fecha de nacimiento debe ser del 01/07/2002 al 30/06/2003" sqref="D76 D70">
      <formula1>J70</formula1>
      <formula2>K70</formula2>
    </dataValidation>
    <dataValidation type="date" allowBlank="1" showInputMessage="1" showErrorMessage="1" error="Verificar fecha de nacimiento." prompt="La fecha de nacimiento debe ser del 01/07/2009 al 30/06/2010" sqref="D72">
      <formula1>J72</formula1>
      <formula2>K72</formula2>
    </dataValidation>
    <dataValidation type="date" allowBlank="1" showInputMessage="1" showErrorMessage="1" error="Verificar fecha de nacimiento" prompt="La fecha de nacimiento debe ser del 01/07/2008 al 30/06/2009" sqref="D73">
      <formula1>J73</formula1>
      <formula2>K73</formula2>
    </dataValidation>
    <dataValidation type="date" allowBlank="1" showInputMessage="1" showErrorMessage="1" error="Verificar fecha de nacimiento" prompt="La fecha de nacimiento debe ser del 01/07/2010 al 30/06/2011" sqref="D74">
      <formula1>J74</formula1>
      <formula2>K74</formula2>
    </dataValidation>
  </dataValidations>
  <pageMargins left="0" right="0" top="0" bottom="0" header="0" footer="0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2"/>
  <sheetViews>
    <sheetView workbookViewId="0"/>
  </sheetViews>
  <sheetFormatPr baseColWidth="10" defaultColWidth="11.44140625" defaultRowHeight="12" x14ac:dyDescent="0.25"/>
  <cols>
    <col min="1" max="1" width="1.44140625" style="111" customWidth="1"/>
    <col min="2" max="2" width="14" style="133" customWidth="1"/>
    <col min="3" max="3" width="16.44140625" style="112" customWidth="1"/>
    <col min="4" max="4" width="10.44140625" style="112" customWidth="1"/>
    <col min="5" max="5" width="17.44140625" style="112" customWidth="1"/>
    <col min="6" max="6" width="11" style="112" customWidth="1"/>
    <col min="7" max="7" width="18.5546875" style="112" customWidth="1"/>
    <col min="8" max="8" width="9.88671875" style="112" customWidth="1"/>
    <col min="9" max="9" width="16.33203125" style="114" customWidth="1"/>
    <col min="10" max="10" width="10.88671875" style="114" customWidth="1"/>
    <col min="11" max="11" width="1.109375" style="111" customWidth="1"/>
    <col min="12" max="12" width="8.88671875" style="111" customWidth="1"/>
    <col min="13" max="13" width="1.88671875" style="111" customWidth="1"/>
    <col min="14" max="14" width="11.44140625" style="112" hidden="1" customWidth="1"/>
    <col min="15" max="15" width="11.44140625" style="113" hidden="1" customWidth="1"/>
    <col min="16" max="16384" width="11.44140625" style="111"/>
  </cols>
  <sheetData>
    <row r="1" spans="2:15" ht="13.5" customHeight="1" x14ac:dyDescent="0.3">
      <c r="I1" s="260" t="s">
        <v>418</v>
      </c>
      <c r="J1" s="261"/>
      <c r="K1" s="261"/>
      <c r="L1" s="261"/>
    </row>
    <row r="2" spans="2:15" ht="15" customHeight="1" x14ac:dyDescent="0.25">
      <c r="B2" s="258" t="s">
        <v>386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</row>
    <row r="3" spans="2:15" ht="6.75" customHeight="1" x14ac:dyDescent="0.25"/>
    <row r="4" spans="2:15" ht="13.8" x14ac:dyDescent="0.3">
      <c r="B4" s="107" t="s">
        <v>277</v>
      </c>
      <c r="C4" s="80" t="s">
        <v>402</v>
      </c>
      <c r="D4" s="108"/>
      <c r="E4" s="108"/>
      <c r="F4" s="80"/>
      <c r="G4" s="108"/>
      <c r="H4" s="108"/>
      <c r="I4" s="109"/>
      <c r="J4" s="109"/>
      <c r="K4" s="110"/>
      <c r="L4" s="110"/>
    </row>
    <row r="5" spans="2:15" ht="12.75" customHeight="1" x14ac:dyDescent="0.3">
      <c r="B5" s="107" t="s">
        <v>278</v>
      </c>
      <c r="C5" s="80" t="s">
        <v>227</v>
      </c>
      <c r="F5" s="79"/>
      <c r="K5" s="110"/>
      <c r="L5" s="110"/>
    </row>
    <row r="6" spans="2:15" ht="12.75" customHeight="1" x14ac:dyDescent="0.3">
      <c r="B6" s="107"/>
      <c r="C6" s="79" t="s">
        <v>226</v>
      </c>
      <c r="F6" s="79"/>
      <c r="K6" s="110"/>
      <c r="L6" s="110"/>
    </row>
    <row r="7" spans="2:15" ht="6.75" customHeight="1" thickBot="1" x14ac:dyDescent="0.35">
      <c r="B7" s="107"/>
      <c r="C7" s="79"/>
      <c r="F7" s="79"/>
      <c r="K7" s="110"/>
      <c r="L7" s="110"/>
    </row>
    <row r="8" spans="2:15" ht="24.6" thickBot="1" x14ac:dyDescent="0.3">
      <c r="B8" s="115" t="s">
        <v>3</v>
      </c>
      <c r="C8" s="304" t="s">
        <v>279</v>
      </c>
      <c r="D8" s="305"/>
      <c r="E8" s="306" t="s">
        <v>280</v>
      </c>
      <c r="F8" s="307"/>
      <c r="G8" s="306" t="s">
        <v>198</v>
      </c>
      <c r="H8" s="307"/>
      <c r="I8" s="308" t="s">
        <v>199</v>
      </c>
      <c r="J8" s="275"/>
      <c r="L8" s="116" t="s">
        <v>281</v>
      </c>
      <c r="N8" s="117" t="s">
        <v>282</v>
      </c>
      <c r="O8" s="118" t="s">
        <v>283</v>
      </c>
    </row>
    <row r="9" spans="2:15" ht="12" customHeight="1" thickBot="1" x14ac:dyDescent="0.3">
      <c r="B9" s="279" t="s">
        <v>284</v>
      </c>
      <c r="C9" s="120" t="s">
        <v>285</v>
      </c>
      <c r="D9" s="121">
        <v>1556638092</v>
      </c>
      <c r="E9" s="120" t="s">
        <v>303</v>
      </c>
      <c r="F9" s="121">
        <v>1556539437</v>
      </c>
      <c r="G9" s="120" t="s">
        <v>286</v>
      </c>
      <c r="H9" s="121">
        <v>1550232983</v>
      </c>
      <c r="I9" s="119" t="s">
        <v>287</v>
      </c>
      <c r="J9" s="121">
        <v>1554960536</v>
      </c>
      <c r="L9" s="282">
        <f>F15+D15+H15+J15</f>
        <v>16</v>
      </c>
    </row>
    <row r="10" spans="2:15" ht="12" customHeight="1" thickBot="1" x14ac:dyDescent="0.3">
      <c r="B10" s="279"/>
      <c r="C10" s="276" t="s">
        <v>288</v>
      </c>
      <c r="D10" s="263"/>
      <c r="E10" s="314" t="s">
        <v>307</v>
      </c>
      <c r="F10" s="289"/>
      <c r="G10" s="276" t="s">
        <v>289</v>
      </c>
      <c r="H10" s="263"/>
      <c r="I10" s="315" t="s">
        <v>290</v>
      </c>
      <c r="J10" s="289"/>
      <c r="L10" s="282"/>
    </row>
    <row r="11" spans="2:15" ht="12" customHeight="1" thickBot="1" x14ac:dyDescent="0.3">
      <c r="B11" s="294"/>
      <c r="C11" s="210" t="s">
        <v>302</v>
      </c>
      <c r="D11" s="209">
        <v>1569590042</v>
      </c>
      <c r="E11" s="130"/>
      <c r="F11" s="157"/>
      <c r="G11" s="120" t="s">
        <v>291</v>
      </c>
      <c r="H11" s="121">
        <v>1557226353</v>
      </c>
      <c r="I11" s="122" t="s">
        <v>357</v>
      </c>
      <c r="J11" s="155">
        <v>1539027698</v>
      </c>
      <c r="L11" s="282"/>
    </row>
    <row r="12" spans="2:15" ht="12" customHeight="1" thickBot="1" x14ac:dyDescent="0.3">
      <c r="B12" s="294"/>
      <c r="C12" s="276" t="s">
        <v>306</v>
      </c>
      <c r="D12" s="292"/>
      <c r="E12" s="309"/>
      <c r="F12" s="310"/>
      <c r="G12" s="276" t="s">
        <v>292</v>
      </c>
      <c r="H12" s="263"/>
      <c r="I12" s="311" t="s">
        <v>192</v>
      </c>
      <c r="J12" s="312"/>
      <c r="L12" s="282"/>
      <c r="N12" s="112" t="s">
        <v>293</v>
      </c>
      <c r="O12" s="113" t="s">
        <v>293</v>
      </c>
    </row>
    <row r="13" spans="2:15" ht="12" customHeight="1" thickBot="1" x14ac:dyDescent="0.3">
      <c r="B13" s="294"/>
      <c r="C13" s="120"/>
      <c r="D13" s="121"/>
      <c r="E13" s="120"/>
      <c r="F13" s="121"/>
      <c r="G13" s="120"/>
      <c r="H13" s="121"/>
      <c r="I13" s="119"/>
      <c r="J13" s="121"/>
      <c r="L13" s="282"/>
    </row>
    <row r="14" spans="2:15" ht="12" customHeight="1" thickBot="1" x14ac:dyDescent="0.3">
      <c r="B14" s="294"/>
      <c r="C14" s="276"/>
      <c r="D14" s="292"/>
      <c r="E14" s="313"/>
      <c r="F14" s="289"/>
      <c r="G14" s="314"/>
      <c r="H14" s="289"/>
      <c r="I14" s="293"/>
      <c r="J14" s="289"/>
      <c r="L14" s="282"/>
    </row>
    <row r="15" spans="2:15" ht="12" customHeight="1" thickBot="1" x14ac:dyDescent="0.3">
      <c r="B15" s="290"/>
      <c r="C15" s="124" t="s">
        <v>294</v>
      </c>
      <c r="D15" s="124">
        <v>6</v>
      </c>
      <c r="E15" s="125" t="s">
        <v>294</v>
      </c>
      <c r="F15" s="126">
        <v>2</v>
      </c>
      <c r="G15" s="125" t="s">
        <v>294</v>
      </c>
      <c r="H15" s="126">
        <v>1</v>
      </c>
      <c r="I15" s="124" t="s">
        <v>294</v>
      </c>
      <c r="J15" s="126">
        <v>7</v>
      </c>
      <c r="L15" s="282"/>
    </row>
    <row r="16" spans="2:15" ht="12" customHeight="1" thickBot="1" x14ac:dyDescent="0.3">
      <c r="B16" s="264" t="s">
        <v>295</v>
      </c>
      <c r="C16" s="127" t="s">
        <v>360</v>
      </c>
      <c r="D16" s="127">
        <v>1562607504</v>
      </c>
      <c r="E16" s="128" t="s">
        <v>351</v>
      </c>
      <c r="F16" s="151" t="s">
        <v>192</v>
      </c>
      <c r="G16" s="128" t="s">
        <v>297</v>
      </c>
      <c r="H16" s="129">
        <v>1523219650</v>
      </c>
      <c r="I16" s="127" t="s">
        <v>298</v>
      </c>
      <c r="J16" s="129">
        <v>1569706647</v>
      </c>
      <c r="L16" s="282">
        <f>F24+D24+H24+J24</f>
        <v>35</v>
      </c>
    </row>
    <row r="17" spans="2:15" ht="12" customHeight="1" thickBot="1" x14ac:dyDescent="0.3">
      <c r="B17" s="279"/>
      <c r="C17" s="291" t="s">
        <v>361</v>
      </c>
      <c r="D17" s="302"/>
      <c r="E17" s="317" t="s">
        <v>192</v>
      </c>
      <c r="F17" s="312"/>
      <c r="G17" s="276" t="s">
        <v>300</v>
      </c>
      <c r="H17" s="292"/>
      <c r="I17" s="293" t="s">
        <v>301</v>
      </c>
      <c r="J17" s="289"/>
      <c r="L17" s="282"/>
    </row>
    <row r="18" spans="2:15" ht="12" customHeight="1" thickBot="1" x14ac:dyDescent="0.3">
      <c r="B18" s="279"/>
      <c r="C18" s="130" t="s">
        <v>394</v>
      </c>
      <c r="D18" s="196">
        <v>1536996470</v>
      </c>
      <c r="E18" s="130" t="s">
        <v>350</v>
      </c>
      <c r="F18" s="123">
        <v>1561804078</v>
      </c>
      <c r="G18" s="164" t="s">
        <v>304</v>
      </c>
      <c r="H18" s="162">
        <v>1535961656</v>
      </c>
      <c r="I18" s="122" t="s">
        <v>305</v>
      </c>
      <c r="J18" s="123">
        <v>1561113130</v>
      </c>
      <c r="L18" s="282"/>
    </row>
    <row r="19" spans="2:15" ht="12" customHeight="1" thickBot="1" x14ac:dyDescent="0.3">
      <c r="B19" s="279"/>
      <c r="C19" s="316" t="s">
        <v>404</v>
      </c>
      <c r="D19" s="285"/>
      <c r="E19" s="276" t="s">
        <v>329</v>
      </c>
      <c r="F19" s="292"/>
      <c r="G19" s="276" t="s">
        <v>308</v>
      </c>
      <c r="H19" s="285"/>
      <c r="I19" s="276" t="s">
        <v>309</v>
      </c>
      <c r="J19" s="285"/>
      <c r="L19" s="282"/>
    </row>
    <row r="20" spans="2:15" ht="12" customHeight="1" thickBot="1" x14ac:dyDescent="0.3">
      <c r="B20" s="294"/>
      <c r="C20" s="197"/>
      <c r="D20" s="197"/>
      <c r="E20" s="206" t="s">
        <v>374</v>
      </c>
      <c r="F20" s="208">
        <v>1566181629</v>
      </c>
      <c r="G20" s="130" t="s">
        <v>353</v>
      </c>
      <c r="H20" s="150"/>
      <c r="I20" s="163"/>
      <c r="J20" s="162"/>
      <c r="L20" s="282"/>
    </row>
    <row r="21" spans="2:15" ht="12" customHeight="1" thickBot="1" x14ac:dyDescent="0.3">
      <c r="B21" s="294"/>
      <c r="C21" s="276"/>
      <c r="D21" s="263"/>
      <c r="E21" s="309" t="s">
        <v>375</v>
      </c>
      <c r="F21" s="310"/>
      <c r="G21" s="317"/>
      <c r="H21" s="312"/>
      <c r="I21" s="318"/>
      <c r="J21" s="263"/>
      <c r="L21" s="282"/>
      <c r="N21" s="112">
        <v>18</v>
      </c>
      <c r="O21" s="113">
        <f>L16-N21</f>
        <v>17</v>
      </c>
    </row>
    <row r="22" spans="2:15" ht="12" customHeight="1" thickBot="1" x14ac:dyDescent="0.3">
      <c r="B22" s="294"/>
      <c r="C22" s="119"/>
      <c r="D22" s="119"/>
      <c r="E22" s="206"/>
      <c r="F22" s="131"/>
      <c r="G22" s="130"/>
      <c r="H22" s="157"/>
      <c r="I22" s="119"/>
      <c r="J22" s="121"/>
      <c r="L22" s="282"/>
    </row>
    <row r="23" spans="2:15" ht="12" customHeight="1" thickBot="1" x14ac:dyDescent="0.3">
      <c r="B23" s="294"/>
      <c r="C23" s="288"/>
      <c r="D23" s="315"/>
      <c r="E23" s="276"/>
      <c r="F23" s="263"/>
      <c r="G23" s="309"/>
      <c r="H23" s="310"/>
      <c r="I23" s="293"/>
      <c r="J23" s="289"/>
      <c r="L23" s="282"/>
    </row>
    <row r="24" spans="2:15" ht="12" customHeight="1" thickBot="1" x14ac:dyDescent="0.3">
      <c r="B24" s="290"/>
      <c r="C24" s="124" t="s">
        <v>294</v>
      </c>
      <c r="D24" s="124">
        <v>10</v>
      </c>
      <c r="E24" s="125" t="s">
        <v>294</v>
      </c>
      <c r="F24" s="126">
        <v>6</v>
      </c>
      <c r="G24" s="125" t="s">
        <v>294</v>
      </c>
      <c r="H24" s="126">
        <v>6</v>
      </c>
      <c r="I24" s="124" t="s">
        <v>294</v>
      </c>
      <c r="J24" s="126">
        <v>13</v>
      </c>
      <c r="L24" s="282"/>
    </row>
    <row r="25" spans="2:15" ht="12" customHeight="1" thickBot="1" x14ac:dyDescent="0.3">
      <c r="B25" s="264" t="s">
        <v>28</v>
      </c>
      <c r="C25" s="119" t="s">
        <v>344</v>
      </c>
      <c r="D25" s="119">
        <v>1561403617</v>
      </c>
      <c r="E25" s="206" t="s">
        <v>296</v>
      </c>
      <c r="F25" s="200">
        <v>1563588762</v>
      </c>
      <c r="G25" s="201" t="s">
        <v>354</v>
      </c>
      <c r="H25" s="200">
        <v>1558567873</v>
      </c>
      <c r="I25" s="119" t="s">
        <v>311</v>
      </c>
      <c r="J25" s="121">
        <v>1540758534</v>
      </c>
      <c r="L25" s="282">
        <f>F31+D31+H31+J31</f>
        <v>6</v>
      </c>
    </row>
    <row r="26" spans="2:15" ht="12" customHeight="1" thickBot="1" x14ac:dyDescent="0.3">
      <c r="B26" s="279"/>
      <c r="C26" s="286" t="s">
        <v>345</v>
      </c>
      <c r="D26" s="297"/>
      <c r="E26" s="298" t="s">
        <v>299</v>
      </c>
      <c r="F26" s="299"/>
      <c r="G26" s="300" t="s">
        <v>356</v>
      </c>
      <c r="H26" s="301"/>
      <c r="I26" s="302" t="s">
        <v>290</v>
      </c>
      <c r="J26" s="263"/>
      <c r="L26" s="282"/>
    </row>
    <row r="27" spans="2:15" ht="12" customHeight="1" thickBot="1" x14ac:dyDescent="0.3">
      <c r="B27" s="279"/>
      <c r="C27" s="130" t="s">
        <v>325</v>
      </c>
      <c r="D27" s="123">
        <v>1536115269</v>
      </c>
      <c r="E27" s="206" t="s">
        <v>313</v>
      </c>
      <c r="F27" s="131">
        <v>1538484759</v>
      </c>
      <c r="G27" s="211" t="s">
        <v>417</v>
      </c>
      <c r="H27" s="209">
        <v>1521698340</v>
      </c>
      <c r="I27" s="122" t="s">
        <v>314</v>
      </c>
      <c r="J27" s="123">
        <v>1541653161</v>
      </c>
      <c r="L27" s="282"/>
      <c r="N27" s="112">
        <v>7</v>
      </c>
      <c r="O27" s="113">
        <v>0</v>
      </c>
    </row>
    <row r="28" spans="2:15" ht="12" customHeight="1" thickBot="1" x14ac:dyDescent="0.3">
      <c r="B28" s="279"/>
      <c r="C28" s="276" t="s">
        <v>326</v>
      </c>
      <c r="D28" s="292"/>
      <c r="E28" s="276" t="s">
        <v>315</v>
      </c>
      <c r="F28" s="263"/>
      <c r="G28" s="291" t="s">
        <v>447</v>
      </c>
      <c r="H28" s="263"/>
      <c r="I28" s="262" t="s">
        <v>316</v>
      </c>
      <c r="J28" s="303"/>
      <c r="L28" s="282"/>
    </row>
    <row r="29" spans="2:15" ht="12" customHeight="1" thickBot="1" x14ac:dyDescent="0.3">
      <c r="B29" s="279"/>
      <c r="C29" s="205"/>
      <c r="D29" s="205"/>
      <c r="E29" s="174" t="s">
        <v>385</v>
      </c>
      <c r="F29" s="150"/>
      <c r="G29" s="199"/>
      <c r="H29" s="200"/>
      <c r="I29" s="204"/>
      <c r="J29" s="212"/>
      <c r="L29" s="282"/>
    </row>
    <row r="30" spans="2:15" ht="12" customHeight="1" thickBot="1" x14ac:dyDescent="0.3">
      <c r="B30" s="279"/>
      <c r="C30" s="205"/>
      <c r="D30" s="205"/>
      <c r="E30" s="202"/>
      <c r="F30" s="203"/>
      <c r="G30" s="199"/>
      <c r="H30" s="200"/>
      <c r="I30" s="204"/>
      <c r="J30" s="212"/>
      <c r="L30" s="282"/>
    </row>
    <row r="31" spans="2:15" ht="12" customHeight="1" thickBot="1" x14ac:dyDescent="0.3">
      <c r="B31" s="290"/>
      <c r="C31" s="124" t="s">
        <v>294</v>
      </c>
      <c r="D31" s="124">
        <v>1</v>
      </c>
      <c r="E31" s="125" t="s">
        <v>294</v>
      </c>
      <c r="F31" s="126">
        <v>2</v>
      </c>
      <c r="G31" s="125" t="s">
        <v>294</v>
      </c>
      <c r="H31" s="126">
        <v>2</v>
      </c>
      <c r="I31" s="124" t="s">
        <v>294</v>
      </c>
      <c r="J31" s="126">
        <v>1</v>
      </c>
      <c r="L31" s="282"/>
    </row>
    <row r="32" spans="2:15" ht="12" customHeight="1" thickBot="1" x14ac:dyDescent="0.3">
      <c r="B32" s="264" t="s">
        <v>29</v>
      </c>
      <c r="C32" s="193" t="s">
        <v>346</v>
      </c>
      <c r="D32" s="192">
        <v>1562936882</v>
      </c>
      <c r="E32" s="128"/>
      <c r="F32" s="129"/>
      <c r="G32" s="128" t="s">
        <v>318</v>
      </c>
      <c r="H32" s="129">
        <v>1566653132</v>
      </c>
      <c r="I32" s="127" t="s">
        <v>319</v>
      </c>
      <c r="J32" s="129">
        <v>1561227814</v>
      </c>
      <c r="L32" s="282">
        <f>F36+D36+H36+J36</f>
        <v>5</v>
      </c>
    </row>
    <row r="33" spans="2:15" ht="12" customHeight="1" thickBot="1" x14ac:dyDescent="0.3">
      <c r="B33" s="279"/>
      <c r="C33" s="277" t="s">
        <v>347</v>
      </c>
      <c r="D33" s="295"/>
      <c r="E33" s="276"/>
      <c r="F33" s="263"/>
      <c r="G33" s="276" t="s">
        <v>321</v>
      </c>
      <c r="H33" s="263"/>
      <c r="I33" s="293" t="s">
        <v>322</v>
      </c>
      <c r="J33" s="289"/>
      <c r="L33" s="282"/>
    </row>
    <row r="34" spans="2:15" ht="12" customHeight="1" thickBot="1" x14ac:dyDescent="0.3">
      <c r="B34" s="279"/>
      <c r="C34" s="130" t="s">
        <v>362</v>
      </c>
      <c r="D34" s="123">
        <v>1559757074</v>
      </c>
      <c r="E34" s="120"/>
      <c r="F34" s="121"/>
      <c r="G34" s="130"/>
      <c r="H34" s="123"/>
      <c r="I34" s="122" t="s">
        <v>323</v>
      </c>
      <c r="J34" s="123">
        <v>1567519396</v>
      </c>
      <c r="L34" s="282"/>
    </row>
    <row r="35" spans="2:15" ht="12" customHeight="1" thickBot="1" x14ac:dyDescent="0.3">
      <c r="B35" s="279"/>
      <c r="C35" s="296" t="s">
        <v>290</v>
      </c>
      <c r="D35" s="263"/>
      <c r="E35" s="276"/>
      <c r="F35" s="263"/>
      <c r="G35" s="276"/>
      <c r="H35" s="292"/>
      <c r="I35" s="291" t="s">
        <v>324</v>
      </c>
      <c r="J35" s="263"/>
      <c r="L35" s="282"/>
      <c r="N35" s="112">
        <v>7</v>
      </c>
      <c r="O35" s="113">
        <f>L32-N35</f>
        <v>-2</v>
      </c>
    </row>
    <row r="36" spans="2:15" ht="12" customHeight="1" thickBot="1" x14ac:dyDescent="0.3">
      <c r="B36" s="290"/>
      <c r="C36" s="124" t="s">
        <v>294</v>
      </c>
      <c r="D36" s="124">
        <v>1</v>
      </c>
      <c r="E36" s="125" t="s">
        <v>294</v>
      </c>
      <c r="F36" s="126">
        <v>0</v>
      </c>
      <c r="G36" s="125" t="s">
        <v>294</v>
      </c>
      <c r="H36" s="126">
        <v>1</v>
      </c>
      <c r="I36" s="124" t="s">
        <v>294</v>
      </c>
      <c r="J36" s="126">
        <v>3</v>
      </c>
      <c r="L36" s="282"/>
    </row>
    <row r="37" spans="2:15" ht="12" customHeight="1" thickBot="1" x14ac:dyDescent="0.3">
      <c r="B37" s="264" t="s">
        <v>31</v>
      </c>
      <c r="C37" s="193" t="s">
        <v>317</v>
      </c>
      <c r="D37" s="192">
        <v>1540711944</v>
      </c>
      <c r="E37" s="128"/>
      <c r="F37" s="129"/>
      <c r="G37" s="127" t="s">
        <v>327</v>
      </c>
      <c r="H37" s="129">
        <v>1558567874</v>
      </c>
      <c r="I37" s="119" t="s">
        <v>328</v>
      </c>
      <c r="J37" s="121">
        <v>1537860083</v>
      </c>
      <c r="L37" s="282">
        <f>F41+D41+H41+J41</f>
        <v>8</v>
      </c>
    </row>
    <row r="38" spans="2:15" ht="12" customHeight="1" thickBot="1" x14ac:dyDescent="0.3">
      <c r="B38" s="279"/>
      <c r="C38" s="276" t="s">
        <v>320</v>
      </c>
      <c r="D38" s="263"/>
      <c r="E38" s="276"/>
      <c r="F38" s="263"/>
      <c r="G38" s="291" t="s">
        <v>330</v>
      </c>
      <c r="H38" s="292"/>
      <c r="I38" s="293" t="s">
        <v>331</v>
      </c>
      <c r="J38" s="289"/>
      <c r="L38" s="282"/>
    </row>
    <row r="39" spans="2:15" ht="12" customHeight="1" thickBot="1" x14ac:dyDescent="0.3">
      <c r="B39" s="279"/>
      <c r="C39" s="130" t="s">
        <v>348</v>
      </c>
      <c r="D39" s="122">
        <v>1532410900</v>
      </c>
      <c r="E39" s="120"/>
      <c r="F39" s="121"/>
      <c r="G39" s="119" t="s">
        <v>332</v>
      </c>
      <c r="H39" s="121">
        <v>1568627006</v>
      </c>
      <c r="I39" s="130" t="s">
        <v>337</v>
      </c>
      <c r="J39" s="123">
        <v>1540733417</v>
      </c>
      <c r="L39" s="282"/>
    </row>
    <row r="40" spans="2:15" ht="12" customHeight="1" thickBot="1" x14ac:dyDescent="0.3">
      <c r="B40" s="279"/>
      <c r="C40" s="277" t="s">
        <v>349</v>
      </c>
      <c r="D40" s="278"/>
      <c r="E40" s="276"/>
      <c r="F40" s="263"/>
      <c r="G40" s="291" t="s">
        <v>335</v>
      </c>
      <c r="H40" s="292"/>
      <c r="I40" s="276" t="s">
        <v>338</v>
      </c>
      <c r="J40" s="263"/>
      <c r="L40" s="282"/>
      <c r="N40" s="112">
        <v>11</v>
      </c>
      <c r="O40" s="113">
        <f>L37-N40</f>
        <v>-3</v>
      </c>
    </row>
    <row r="41" spans="2:15" ht="12" customHeight="1" thickBot="1" x14ac:dyDescent="0.3">
      <c r="B41" s="290"/>
      <c r="C41" s="124" t="s">
        <v>294</v>
      </c>
      <c r="D41" s="124">
        <v>4</v>
      </c>
      <c r="E41" s="125" t="s">
        <v>294</v>
      </c>
      <c r="F41" s="126">
        <v>0</v>
      </c>
      <c r="G41" s="125" t="s">
        <v>294</v>
      </c>
      <c r="H41" s="126">
        <v>2</v>
      </c>
      <c r="I41" s="124" t="s">
        <v>294</v>
      </c>
      <c r="J41" s="126">
        <v>2</v>
      </c>
      <c r="L41" s="282"/>
    </row>
    <row r="42" spans="2:15" ht="12" customHeight="1" thickBot="1" x14ac:dyDescent="0.3">
      <c r="B42" s="264" t="s">
        <v>44</v>
      </c>
      <c r="C42" s="127" t="s">
        <v>255</v>
      </c>
      <c r="D42" s="127">
        <v>1531538944</v>
      </c>
      <c r="E42" s="160" t="s">
        <v>192</v>
      </c>
      <c r="F42" s="168"/>
      <c r="G42" s="119" t="s">
        <v>359</v>
      </c>
      <c r="H42" s="121">
        <v>1550232982</v>
      </c>
      <c r="I42" s="127" t="s">
        <v>383</v>
      </c>
      <c r="J42" s="129">
        <v>1556410672</v>
      </c>
      <c r="L42" s="282">
        <f>F48+D48+H48+J48</f>
        <v>7</v>
      </c>
    </row>
    <row r="43" spans="2:15" ht="12" customHeight="1" thickBot="1" x14ac:dyDescent="0.3">
      <c r="B43" s="279"/>
      <c r="C43" s="284" t="s">
        <v>396</v>
      </c>
      <c r="D43" s="285"/>
      <c r="E43" s="161"/>
      <c r="F43" s="169"/>
      <c r="G43" s="286" t="s">
        <v>355</v>
      </c>
      <c r="H43" s="287"/>
      <c r="I43" s="288" t="s">
        <v>384</v>
      </c>
      <c r="J43" s="289"/>
      <c r="L43" s="283"/>
    </row>
    <row r="44" spans="2:15" ht="12" customHeight="1" thickBot="1" x14ac:dyDescent="0.3">
      <c r="B44" s="280"/>
      <c r="C44" s="120" t="s">
        <v>341</v>
      </c>
      <c r="D44" s="121">
        <v>1558833884</v>
      </c>
      <c r="E44" s="172"/>
      <c r="F44" s="173"/>
      <c r="G44" s="130" t="s">
        <v>310</v>
      </c>
      <c r="H44" s="123">
        <v>1557817281</v>
      </c>
      <c r="I44" s="122" t="s">
        <v>339</v>
      </c>
      <c r="J44" s="123">
        <v>1567436078</v>
      </c>
      <c r="L44" s="283"/>
    </row>
    <row r="45" spans="2:15" ht="12" customHeight="1" thickBot="1" x14ac:dyDescent="0.3">
      <c r="B45" s="280"/>
      <c r="C45" s="276" t="s">
        <v>342</v>
      </c>
      <c r="D45" s="263"/>
      <c r="E45" s="170"/>
      <c r="F45" s="171"/>
      <c r="G45" s="276" t="s">
        <v>312</v>
      </c>
      <c r="H45" s="263"/>
      <c r="I45" s="262" t="s">
        <v>340</v>
      </c>
      <c r="J45" s="263"/>
      <c r="L45" s="283"/>
      <c r="N45" s="112">
        <v>3</v>
      </c>
      <c r="O45" s="113">
        <f>L42-N45</f>
        <v>4</v>
      </c>
    </row>
    <row r="46" spans="2:15" ht="12" customHeight="1" thickBot="1" x14ac:dyDescent="0.3">
      <c r="B46" s="280"/>
      <c r="C46" s="130"/>
      <c r="D46" s="122"/>
      <c r="E46" s="161"/>
      <c r="F46" s="169"/>
      <c r="G46" s="138"/>
      <c r="H46" s="123"/>
      <c r="I46" s="122" t="s">
        <v>333</v>
      </c>
      <c r="J46" s="123" t="s">
        <v>334</v>
      </c>
      <c r="L46" s="283"/>
    </row>
    <row r="47" spans="2:15" ht="12" customHeight="1" thickBot="1" x14ac:dyDescent="0.3">
      <c r="B47" s="280"/>
      <c r="C47" s="277"/>
      <c r="D47" s="278"/>
      <c r="E47" s="170"/>
      <c r="F47" s="171"/>
      <c r="G47" s="139"/>
      <c r="H47" s="132"/>
      <c r="I47" s="262" t="s">
        <v>336</v>
      </c>
      <c r="J47" s="263"/>
      <c r="L47" s="283"/>
    </row>
    <row r="48" spans="2:15" ht="12" customHeight="1" thickBot="1" x14ac:dyDescent="0.3">
      <c r="B48" s="281"/>
      <c r="C48" s="124" t="s">
        <v>294</v>
      </c>
      <c r="D48" s="124">
        <v>4</v>
      </c>
      <c r="E48" s="125" t="s">
        <v>294</v>
      </c>
      <c r="F48" s="126">
        <v>0</v>
      </c>
      <c r="G48" s="125" t="s">
        <v>294</v>
      </c>
      <c r="H48" s="126">
        <v>1</v>
      </c>
      <c r="I48" s="124" t="s">
        <v>294</v>
      </c>
      <c r="J48" s="126">
        <v>2</v>
      </c>
      <c r="L48" s="283"/>
    </row>
    <row r="49" spans="2:15" ht="4.5" customHeight="1" thickBot="1" x14ac:dyDescent="0.3">
      <c r="C49" s="134"/>
      <c r="D49" s="134"/>
      <c r="E49" s="134"/>
      <c r="F49" s="134"/>
      <c r="G49" s="134"/>
      <c r="H49" s="134"/>
      <c r="I49" s="135"/>
      <c r="J49" s="135"/>
    </row>
    <row r="50" spans="2:15" ht="12.6" thickBot="1" x14ac:dyDescent="0.3">
      <c r="B50" s="136" t="s">
        <v>343</v>
      </c>
      <c r="C50" s="272">
        <f>D15+D24+D31+D36+D41+D48</f>
        <v>26</v>
      </c>
      <c r="D50" s="273"/>
      <c r="E50" s="272">
        <f>F15+F24+F31+F36+F41+F48</f>
        <v>10</v>
      </c>
      <c r="F50" s="273"/>
      <c r="G50" s="272">
        <f>H15+H24+H31+H36+H41+H48</f>
        <v>13</v>
      </c>
      <c r="H50" s="273"/>
      <c r="I50" s="272">
        <f>J15+J24+J31+J36+J41+J48</f>
        <v>28</v>
      </c>
      <c r="J50" s="273"/>
      <c r="L50" s="137">
        <f>E50+C50+G50+I50</f>
        <v>77</v>
      </c>
      <c r="N50" s="112">
        <f>N21+N27+N35+N40+N45</f>
        <v>46</v>
      </c>
      <c r="O50" s="112">
        <f>O21+O27+O35+O40+O45</f>
        <v>16</v>
      </c>
    </row>
    <row r="51" spans="2:15" ht="12.6" thickBot="1" x14ac:dyDescent="0.3">
      <c r="B51" s="136" t="s">
        <v>172</v>
      </c>
      <c r="C51" s="272">
        <v>12</v>
      </c>
      <c r="D51" s="273"/>
      <c r="E51" s="272">
        <v>7</v>
      </c>
      <c r="F51" s="273"/>
      <c r="G51" s="272">
        <v>12</v>
      </c>
      <c r="H51" s="273"/>
      <c r="I51" s="274">
        <v>13</v>
      </c>
      <c r="J51" s="275"/>
      <c r="L51" s="137">
        <f>E51+C51+G51+I51</f>
        <v>44</v>
      </c>
    </row>
    <row r="52" spans="2:15" ht="4.5" customHeight="1" thickBot="1" x14ac:dyDescent="0.3"/>
    <row r="53" spans="2:15" ht="12" customHeight="1" x14ac:dyDescent="0.25">
      <c r="B53" s="264" t="s">
        <v>358</v>
      </c>
      <c r="C53" s="140" t="s">
        <v>255</v>
      </c>
      <c r="D53" s="141">
        <v>1522719535</v>
      </c>
      <c r="E53" s="142" t="s">
        <v>398</v>
      </c>
      <c r="F53" s="141">
        <v>1536209970</v>
      </c>
      <c r="G53" s="127" t="s">
        <v>359</v>
      </c>
      <c r="H53" s="129">
        <v>1550232982</v>
      </c>
      <c r="I53" s="127" t="s">
        <v>383</v>
      </c>
      <c r="J53" s="129">
        <v>1556410672</v>
      </c>
    </row>
    <row r="54" spans="2:15" ht="12" customHeight="1" thickBot="1" x14ac:dyDescent="0.3">
      <c r="B54" s="265"/>
      <c r="C54" s="270" t="s">
        <v>397</v>
      </c>
      <c r="D54" s="271"/>
      <c r="E54" s="270" t="s">
        <v>399</v>
      </c>
      <c r="F54" s="271"/>
      <c r="G54" s="268" t="s">
        <v>355</v>
      </c>
      <c r="H54" s="269"/>
      <c r="I54" s="266" t="s">
        <v>384</v>
      </c>
      <c r="J54" s="267"/>
    </row>
    <row r="55" spans="2:15" x14ac:dyDescent="0.25">
      <c r="B55" s="111"/>
      <c r="C55" s="111"/>
      <c r="D55" s="111"/>
      <c r="E55" s="111"/>
      <c r="F55" s="111"/>
      <c r="G55" s="111"/>
      <c r="H55" s="111"/>
      <c r="I55" s="111"/>
      <c r="J55" s="111"/>
      <c r="N55" s="111"/>
      <c r="O55" s="111"/>
    </row>
    <row r="56" spans="2:15" x14ac:dyDescent="0.25">
      <c r="B56" s="111"/>
      <c r="C56" s="111"/>
      <c r="D56" s="111"/>
      <c r="E56" s="111"/>
      <c r="F56" s="111"/>
      <c r="G56" s="111"/>
      <c r="H56" s="111"/>
      <c r="I56" s="111"/>
      <c r="J56" s="111"/>
      <c r="N56" s="111"/>
      <c r="O56" s="111"/>
    </row>
    <row r="57" spans="2:15" x14ac:dyDescent="0.25">
      <c r="B57" s="111"/>
      <c r="C57" s="111"/>
      <c r="D57" s="111"/>
      <c r="E57" s="111"/>
      <c r="F57" s="111"/>
      <c r="G57" s="111"/>
      <c r="H57" s="111"/>
      <c r="I57" s="111"/>
      <c r="J57" s="111"/>
      <c r="N57" s="111"/>
      <c r="O57" s="111"/>
    </row>
    <row r="58" spans="2:15" x14ac:dyDescent="0.25">
      <c r="B58" s="111"/>
      <c r="C58" s="111"/>
      <c r="D58" s="111"/>
      <c r="E58" s="111"/>
      <c r="F58" s="111"/>
      <c r="G58" s="111"/>
      <c r="H58" s="111"/>
      <c r="I58" s="111"/>
      <c r="J58" s="111"/>
      <c r="N58" s="111"/>
      <c r="O58" s="111"/>
    </row>
    <row r="59" spans="2:15" x14ac:dyDescent="0.25">
      <c r="B59" s="111"/>
      <c r="C59" s="111"/>
      <c r="D59" s="111"/>
      <c r="E59" s="111"/>
      <c r="F59" s="111"/>
      <c r="G59" s="111"/>
      <c r="H59" s="111"/>
      <c r="I59" s="111"/>
      <c r="J59" s="111"/>
      <c r="N59" s="111"/>
      <c r="O59" s="111"/>
    </row>
    <row r="60" spans="2:15" x14ac:dyDescent="0.25">
      <c r="B60" s="111"/>
      <c r="C60" s="111"/>
      <c r="D60" s="111"/>
      <c r="E60" s="111"/>
      <c r="F60" s="111"/>
      <c r="G60" s="111"/>
      <c r="H60" s="111"/>
      <c r="I60" s="111"/>
      <c r="J60" s="111"/>
      <c r="N60" s="111"/>
      <c r="O60" s="111"/>
    </row>
    <row r="61" spans="2:15" x14ac:dyDescent="0.25">
      <c r="B61" s="111"/>
      <c r="C61" s="111"/>
      <c r="D61" s="111"/>
      <c r="E61" s="111"/>
      <c r="F61" s="111"/>
      <c r="G61" s="111"/>
      <c r="H61" s="111"/>
      <c r="I61" s="111"/>
      <c r="J61" s="111"/>
      <c r="N61" s="111"/>
      <c r="O61" s="111"/>
    </row>
    <row r="62" spans="2:15" x14ac:dyDescent="0.25">
      <c r="B62" s="111"/>
      <c r="C62" s="111"/>
      <c r="D62" s="111"/>
      <c r="E62" s="111"/>
      <c r="F62" s="111"/>
      <c r="G62" s="111"/>
      <c r="H62" s="111"/>
      <c r="I62" s="111"/>
      <c r="J62" s="111"/>
      <c r="N62" s="111"/>
      <c r="O62" s="111"/>
    </row>
  </sheetData>
  <sheetProtection algorithmName="SHA-512" hashValue="ah0YKD5MGi11oVorNAzmhTj915ejwdP9YBV5o2DBqn6wcuU94sMlJH18LD8w36Q/mlop3PcWzJu8cUr2A/6t9Q==" saltValue="A76rPJdHFlhNEWgGpYEgZA==" spinCount="100000" sheet="1" objects="1" scenarios="1"/>
  <mergeCells count="91">
    <mergeCell ref="E19:F19"/>
    <mergeCell ref="C21:D21"/>
    <mergeCell ref="E21:F21"/>
    <mergeCell ref="G21:H21"/>
    <mergeCell ref="I21:J21"/>
    <mergeCell ref="C23:D23"/>
    <mergeCell ref="L9:L15"/>
    <mergeCell ref="C10:D10"/>
    <mergeCell ref="E10:F10"/>
    <mergeCell ref="G10:H10"/>
    <mergeCell ref="I10:J10"/>
    <mergeCell ref="C19:D19"/>
    <mergeCell ref="E23:F23"/>
    <mergeCell ref="G23:H23"/>
    <mergeCell ref="I23:J23"/>
    <mergeCell ref="I19:J19"/>
    <mergeCell ref="G19:H19"/>
    <mergeCell ref="L16:L24"/>
    <mergeCell ref="C17:D17"/>
    <mergeCell ref="E17:F17"/>
    <mergeCell ref="G17:H17"/>
    <mergeCell ref="C8:D8"/>
    <mergeCell ref="E8:F8"/>
    <mergeCell ref="G8:H8"/>
    <mergeCell ref="I8:J8"/>
    <mergeCell ref="B9:B15"/>
    <mergeCell ref="C12:D12"/>
    <mergeCell ref="E12:F12"/>
    <mergeCell ref="G12:H12"/>
    <mergeCell ref="I12:J12"/>
    <mergeCell ref="C14:D14"/>
    <mergeCell ref="E14:F14"/>
    <mergeCell ref="G14:H14"/>
    <mergeCell ref="I14:J14"/>
    <mergeCell ref="L25:L31"/>
    <mergeCell ref="C26:D26"/>
    <mergeCell ref="E26:F26"/>
    <mergeCell ref="G26:H26"/>
    <mergeCell ref="I26:J26"/>
    <mergeCell ref="I28:J28"/>
    <mergeCell ref="I17:J17"/>
    <mergeCell ref="B25:B31"/>
    <mergeCell ref="B16:B24"/>
    <mergeCell ref="B32:B36"/>
    <mergeCell ref="L32:L36"/>
    <mergeCell ref="C33:D33"/>
    <mergeCell ref="E33:F33"/>
    <mergeCell ref="G33:H33"/>
    <mergeCell ref="I33:J33"/>
    <mergeCell ref="C35:D35"/>
    <mergeCell ref="E35:F35"/>
    <mergeCell ref="G35:H35"/>
    <mergeCell ref="I35:J35"/>
    <mergeCell ref="C28:D28"/>
    <mergeCell ref="E28:F28"/>
    <mergeCell ref="G28:H28"/>
    <mergeCell ref="B37:B41"/>
    <mergeCell ref="L37:L41"/>
    <mergeCell ref="G38:H38"/>
    <mergeCell ref="I38:J38"/>
    <mergeCell ref="C40:D40"/>
    <mergeCell ref="G40:H40"/>
    <mergeCell ref="I40:J40"/>
    <mergeCell ref="L42:L48"/>
    <mergeCell ref="C43:D43"/>
    <mergeCell ref="G43:H43"/>
    <mergeCell ref="I43:J43"/>
    <mergeCell ref="C45:D45"/>
    <mergeCell ref="G45:H45"/>
    <mergeCell ref="I45:J45"/>
    <mergeCell ref="C50:D50"/>
    <mergeCell ref="E50:F50"/>
    <mergeCell ref="G50:H50"/>
    <mergeCell ref="I50:J50"/>
    <mergeCell ref="B42:B48"/>
    <mergeCell ref="B2:L2"/>
    <mergeCell ref="I1:L1"/>
    <mergeCell ref="I47:J47"/>
    <mergeCell ref="B53:B54"/>
    <mergeCell ref="I54:J54"/>
    <mergeCell ref="G54:H54"/>
    <mergeCell ref="E54:F54"/>
    <mergeCell ref="C54:D54"/>
    <mergeCell ref="C51:D51"/>
    <mergeCell ref="E51:F51"/>
    <mergeCell ref="G51:H51"/>
    <mergeCell ref="I51:J51"/>
    <mergeCell ref="E38:F38"/>
    <mergeCell ref="E40:F40"/>
    <mergeCell ref="C38:D38"/>
    <mergeCell ref="C47:D47"/>
  </mergeCells>
  <hyperlinks>
    <hyperlink ref="I17" r:id="rId1"/>
    <hyperlink ref="I45" r:id="rId2"/>
    <hyperlink ref="E17" r:id="rId3" display="sabrina82207@hotmail.com"/>
    <hyperlink ref="I12" r:id="rId4" display="marielalunati@hotmail.com"/>
    <hyperlink ref="C10" r:id="rId5"/>
    <hyperlink ref="C28" r:id="rId6"/>
    <hyperlink ref="C26" r:id="rId7"/>
    <hyperlink ref="C45" r:id="rId8"/>
    <hyperlink ref="E10" r:id="rId9"/>
    <hyperlink ref="G10" r:id="rId10"/>
    <hyperlink ref="G12" r:id="rId11"/>
    <hyperlink ref="G17" r:id="rId12"/>
    <hyperlink ref="G33" r:id="rId13"/>
    <hyperlink ref="G40" r:id="rId14"/>
    <hyperlink ref="G38" r:id="rId15"/>
    <hyperlink ref="G43" r:id="rId16"/>
    <hyperlink ref="I28" r:id="rId17"/>
    <hyperlink ref="I33" r:id="rId18"/>
    <hyperlink ref="I35" r:id="rId19"/>
    <hyperlink ref="I38" r:id="rId20"/>
    <hyperlink ref="I40" r:id="rId21"/>
    <hyperlink ref="I47" r:id="rId22"/>
    <hyperlink ref="I43" r:id="rId23"/>
    <hyperlink ref="I54" r:id="rId24"/>
    <hyperlink ref="G54" r:id="rId25"/>
    <hyperlink ref="C17" r:id="rId26"/>
    <hyperlink ref="I19" r:id="rId27" display="julietafalguera@hotmail.com"/>
    <hyperlink ref="G19" r:id="rId28" display="caroannacondia@gmail.com"/>
    <hyperlink ref="C19" r:id="rId29" display="mairaperezyaccuzzi@gmail.com"/>
    <hyperlink ref="C33" r:id="rId30"/>
    <hyperlink ref="C38" r:id="rId31"/>
    <hyperlink ref="C54" r:id="rId32"/>
    <hyperlink ref="E54" r:id="rId33"/>
    <hyperlink ref="E19" r:id="rId34" display="lauramaresca@yahoo.com.ar"/>
    <hyperlink ref="E21" r:id="rId35"/>
    <hyperlink ref="E26" r:id="rId36"/>
    <hyperlink ref="E28" r:id="rId37"/>
    <hyperlink ref="G45" r:id="rId38"/>
    <hyperlink ref="G26" r:id="rId39"/>
    <hyperlink ref="C12" r:id="rId40"/>
    <hyperlink ref="C40" r:id="rId41"/>
    <hyperlink ref="G28" r:id="rId42"/>
  </hyperlinks>
  <printOptions horizontalCentered="1" verticalCentered="1"/>
  <pageMargins left="0" right="0" top="0" bottom="0" header="0" footer="0"/>
  <pageSetup paperSize="9" scale="95" orientation="landscape" r:id="rId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workbookViewId="0"/>
  </sheetViews>
  <sheetFormatPr baseColWidth="10" defaultColWidth="11.44140625" defaultRowHeight="15.6" x14ac:dyDescent="0.3"/>
  <cols>
    <col min="1" max="1" width="1.44140625" style="1" customWidth="1"/>
    <col min="2" max="2" width="24.6640625" style="90" customWidth="1"/>
    <col min="3" max="6" width="17.33203125" style="1" customWidth="1"/>
    <col min="7" max="7" width="11.44140625" style="1"/>
    <col min="8" max="9" width="10.6640625" style="1" customWidth="1"/>
    <col min="10" max="11" width="3" style="1" bestFit="1" customWidth="1"/>
    <col min="12" max="12" width="5" style="1" bestFit="1" customWidth="1"/>
    <col min="13" max="13" width="11.88671875" style="1" bestFit="1" customWidth="1"/>
    <col min="14" max="16384" width="11.44140625" style="1"/>
  </cols>
  <sheetData>
    <row r="1" spans="2:7" x14ac:dyDescent="0.3">
      <c r="D1" s="260" t="s">
        <v>416</v>
      </c>
      <c r="E1" s="261"/>
      <c r="F1" s="261"/>
      <c r="G1" s="152"/>
    </row>
    <row r="4" spans="2:7" ht="31.2" x14ac:dyDescent="0.3">
      <c r="B4" s="91" t="s">
        <v>237</v>
      </c>
      <c r="C4" s="92" t="s">
        <v>235</v>
      </c>
      <c r="D4" s="92" t="s">
        <v>236</v>
      </c>
      <c r="E4" s="92" t="s">
        <v>198</v>
      </c>
      <c r="F4" s="92" t="s">
        <v>199</v>
      </c>
      <c r="G4" s="215" t="s">
        <v>419</v>
      </c>
    </row>
    <row r="5" spans="2:7" ht="21.75" customHeight="1" x14ac:dyDescent="0.3">
      <c r="B5" s="94" t="s">
        <v>238</v>
      </c>
      <c r="C5" s="95">
        <v>3</v>
      </c>
      <c r="D5" s="95">
        <v>2</v>
      </c>
      <c r="E5" s="95">
        <v>0</v>
      </c>
      <c r="F5" s="95">
        <v>3</v>
      </c>
      <c r="G5" s="213">
        <f>C5+D5+E5+F5</f>
        <v>8</v>
      </c>
    </row>
    <row r="6" spans="2:7" ht="21.75" customHeight="1" x14ac:dyDescent="0.3">
      <c r="B6" s="94" t="s">
        <v>239</v>
      </c>
      <c r="C6" s="95">
        <v>3</v>
      </c>
      <c r="D6" s="95">
        <v>0</v>
      </c>
      <c r="E6" s="95">
        <v>1</v>
      </c>
      <c r="F6" s="95">
        <v>4</v>
      </c>
      <c r="G6" s="213">
        <f t="shared" ref="G6:G14" si="0">C6+D6+E6+F6</f>
        <v>8</v>
      </c>
    </row>
    <row r="7" spans="2:7" ht="21.75" customHeight="1" x14ac:dyDescent="0.3">
      <c r="B7" s="93" t="s">
        <v>240</v>
      </c>
      <c r="C7" s="98">
        <v>5</v>
      </c>
      <c r="D7" s="98">
        <v>2</v>
      </c>
      <c r="E7" s="98">
        <v>0</v>
      </c>
      <c r="F7" s="98">
        <v>1</v>
      </c>
      <c r="G7" s="213">
        <f t="shared" si="0"/>
        <v>8</v>
      </c>
    </row>
    <row r="8" spans="2:7" ht="21.75" customHeight="1" x14ac:dyDescent="0.3">
      <c r="B8" s="93" t="s">
        <v>241</v>
      </c>
      <c r="C8" s="98">
        <v>2</v>
      </c>
      <c r="D8" s="98">
        <v>0</v>
      </c>
      <c r="E8" s="98">
        <v>3</v>
      </c>
      <c r="F8" s="98">
        <v>1</v>
      </c>
      <c r="G8" s="213">
        <f t="shared" si="0"/>
        <v>6</v>
      </c>
    </row>
    <row r="9" spans="2:7" ht="21.75" customHeight="1" x14ac:dyDescent="0.3">
      <c r="B9" s="93" t="s">
        <v>242</v>
      </c>
      <c r="C9" s="98">
        <v>0</v>
      </c>
      <c r="D9" s="98">
        <v>3</v>
      </c>
      <c r="E9" s="98">
        <v>2</v>
      </c>
      <c r="F9" s="98">
        <v>3</v>
      </c>
      <c r="G9" s="213">
        <f t="shared" si="0"/>
        <v>8</v>
      </c>
    </row>
    <row r="10" spans="2:7" ht="21.75" customHeight="1" x14ac:dyDescent="0.3">
      <c r="B10" s="93" t="s">
        <v>243</v>
      </c>
      <c r="C10" s="98">
        <v>3</v>
      </c>
      <c r="D10" s="98">
        <v>1</v>
      </c>
      <c r="E10" s="98">
        <v>1</v>
      </c>
      <c r="F10" s="98">
        <v>8</v>
      </c>
      <c r="G10" s="213">
        <f t="shared" si="0"/>
        <v>13</v>
      </c>
    </row>
    <row r="11" spans="2:7" ht="21.75" customHeight="1" x14ac:dyDescent="0.3">
      <c r="B11" s="96" t="s">
        <v>244</v>
      </c>
      <c r="C11" s="97">
        <v>1</v>
      </c>
      <c r="D11" s="97">
        <v>2</v>
      </c>
      <c r="E11" s="97">
        <v>2</v>
      </c>
      <c r="F11" s="97">
        <v>1</v>
      </c>
      <c r="G11" s="213">
        <f t="shared" si="0"/>
        <v>6</v>
      </c>
    </row>
    <row r="12" spans="2:7" ht="21.75" customHeight="1" x14ac:dyDescent="0.3">
      <c r="B12" s="96" t="s">
        <v>245</v>
      </c>
      <c r="C12" s="97">
        <v>1</v>
      </c>
      <c r="D12" s="97">
        <v>0</v>
      </c>
      <c r="E12" s="97">
        <v>1</v>
      </c>
      <c r="F12" s="97">
        <v>3</v>
      </c>
      <c r="G12" s="213">
        <f t="shared" si="0"/>
        <v>5</v>
      </c>
    </row>
    <row r="13" spans="2:7" ht="21.75" customHeight="1" x14ac:dyDescent="0.3">
      <c r="B13" s="96" t="s">
        <v>246</v>
      </c>
      <c r="C13" s="97">
        <v>4</v>
      </c>
      <c r="D13" s="97">
        <v>0</v>
      </c>
      <c r="E13" s="97">
        <v>2</v>
      </c>
      <c r="F13" s="97">
        <v>2</v>
      </c>
      <c r="G13" s="213">
        <f t="shared" si="0"/>
        <v>8</v>
      </c>
    </row>
    <row r="14" spans="2:7" ht="21.75" customHeight="1" x14ac:dyDescent="0.3">
      <c r="B14" s="99" t="s">
        <v>169</v>
      </c>
      <c r="C14" s="100">
        <v>4</v>
      </c>
      <c r="D14" s="100">
        <v>0</v>
      </c>
      <c r="E14" s="100">
        <v>1</v>
      </c>
      <c r="F14" s="100">
        <v>2</v>
      </c>
      <c r="G14" s="213">
        <f t="shared" si="0"/>
        <v>7</v>
      </c>
    </row>
    <row r="15" spans="2:7" ht="23.4" x14ac:dyDescent="0.3">
      <c r="G15" s="214">
        <f>C5+D5+E5+F5+C6+D6+E6+F6+C7+D7+E7+F7+C8+D8+E8+F8+C9+D9+E9+F9+C10+D10+E10+F10+C11+D11+E11+F11+C12+D12+E12+F12+C13+D13+E13+F13+C14+D14+E14+F14</f>
        <v>77</v>
      </c>
    </row>
  </sheetData>
  <sheetProtection algorithmName="SHA-512" hashValue="Rdsic5WE3uzWRE/9NJdlhcd8i/KIna5UWXPsDwGmNZ9eycHvWveCZs8dASlz5MGEFfUPa8Iosz3vtHILSQt2bg==" saltValue="MvArPeIhNG9Yj7Jyph0Crw==" spinCount="100000" sheet="1" objects="1" scenarios="1"/>
  <mergeCells count="1">
    <mergeCell ref="D1:F1"/>
  </mergeCells>
  <printOptions horizontalCentered="1"/>
  <pageMargins left="0" right="0" top="0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workbookViewId="0"/>
  </sheetViews>
  <sheetFormatPr baseColWidth="10" defaultColWidth="11.44140625" defaultRowHeight="14.4" x14ac:dyDescent="0.3"/>
  <cols>
    <col min="1" max="1" width="0.6640625" style="1" customWidth="1"/>
    <col min="2" max="2" width="6" style="1" customWidth="1"/>
    <col min="3" max="12" width="4.88671875" style="1" customWidth="1"/>
    <col min="13" max="13" width="6.109375" style="1" customWidth="1"/>
    <col min="14" max="32" width="4.109375" style="1" customWidth="1"/>
    <col min="33" max="16384" width="11.44140625" style="1"/>
  </cols>
  <sheetData>
    <row r="1" spans="1:32" ht="3.75" customHeight="1" thickBot="1" x14ac:dyDescent="0.35">
      <c r="A1" s="54"/>
    </row>
    <row r="2" spans="1:32" ht="15" thickBot="1" x14ac:dyDescent="0.35">
      <c r="B2" s="319" t="s">
        <v>203</v>
      </c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1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3"/>
      <c r="AB2" s="323"/>
      <c r="AC2" s="323"/>
      <c r="AD2" s="323"/>
      <c r="AE2" s="323"/>
      <c r="AF2" s="324"/>
    </row>
    <row r="3" spans="1:32" ht="30" customHeight="1" x14ac:dyDescent="0.3">
      <c r="B3" s="55" t="s">
        <v>204</v>
      </c>
      <c r="C3" s="56" t="s">
        <v>205</v>
      </c>
      <c r="D3" s="56" t="s">
        <v>206</v>
      </c>
      <c r="E3" s="56" t="s">
        <v>207</v>
      </c>
      <c r="F3" s="56" t="s">
        <v>208</v>
      </c>
      <c r="G3" s="56" t="s">
        <v>209</v>
      </c>
      <c r="H3" s="56" t="s">
        <v>210</v>
      </c>
      <c r="I3" s="56" t="s">
        <v>211</v>
      </c>
      <c r="J3" s="56" t="s">
        <v>212</v>
      </c>
      <c r="K3" s="56" t="s">
        <v>213</v>
      </c>
      <c r="L3" s="56" t="s">
        <v>214</v>
      </c>
      <c r="M3" s="57" t="s">
        <v>215</v>
      </c>
      <c r="N3" s="185">
        <v>2018</v>
      </c>
      <c r="O3" s="180">
        <v>2019</v>
      </c>
      <c r="P3" s="180">
        <v>2020</v>
      </c>
      <c r="Q3" s="180">
        <v>2021</v>
      </c>
      <c r="R3" s="180">
        <v>2022</v>
      </c>
      <c r="S3" s="180">
        <v>2023</v>
      </c>
      <c r="T3" s="180">
        <v>2024</v>
      </c>
      <c r="U3" s="180">
        <v>2025</v>
      </c>
      <c r="V3" s="180">
        <v>2026</v>
      </c>
      <c r="W3" s="180">
        <v>2027</v>
      </c>
      <c r="X3" s="180">
        <v>2028</v>
      </c>
      <c r="Y3" s="180">
        <v>2029</v>
      </c>
      <c r="Z3" s="180">
        <v>2030</v>
      </c>
      <c r="AA3" s="180">
        <v>2031</v>
      </c>
      <c r="AB3" s="180">
        <v>2032</v>
      </c>
      <c r="AC3" s="180">
        <v>2033</v>
      </c>
      <c r="AD3" s="180">
        <v>2034</v>
      </c>
      <c r="AE3" s="180">
        <v>2035</v>
      </c>
      <c r="AF3" s="181">
        <v>2036</v>
      </c>
    </row>
    <row r="4" spans="1:32" x14ac:dyDescent="0.3">
      <c r="B4" s="89">
        <v>2003</v>
      </c>
      <c r="C4" s="60">
        <v>2003</v>
      </c>
      <c r="D4" s="60">
        <v>2003</v>
      </c>
      <c r="E4" s="60">
        <v>2003</v>
      </c>
      <c r="F4" s="60">
        <v>2003</v>
      </c>
      <c r="G4" s="60">
        <v>2003</v>
      </c>
      <c r="H4" s="60">
        <v>2004</v>
      </c>
      <c r="I4" s="60">
        <v>2004</v>
      </c>
      <c r="J4" s="60">
        <v>2004</v>
      </c>
      <c r="K4" s="60">
        <v>2004</v>
      </c>
      <c r="L4" s="60">
        <v>2004</v>
      </c>
      <c r="M4" s="88">
        <v>2004</v>
      </c>
      <c r="N4" s="186"/>
      <c r="O4" s="61"/>
      <c r="P4" s="61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/>
    </row>
    <row r="5" spans="1:32" x14ac:dyDescent="0.3">
      <c r="B5" s="89">
        <v>2004</v>
      </c>
      <c r="C5" s="60">
        <v>2004</v>
      </c>
      <c r="D5" s="60">
        <v>2004</v>
      </c>
      <c r="E5" s="60">
        <v>2004</v>
      </c>
      <c r="F5" s="60">
        <v>2004</v>
      </c>
      <c r="G5" s="60">
        <v>2004</v>
      </c>
      <c r="H5" s="60">
        <v>2005</v>
      </c>
      <c r="I5" s="60">
        <v>2005</v>
      </c>
      <c r="J5" s="60">
        <v>2005</v>
      </c>
      <c r="K5" s="60">
        <v>2005</v>
      </c>
      <c r="L5" s="60">
        <v>2005</v>
      </c>
      <c r="M5" s="88">
        <v>2005</v>
      </c>
      <c r="N5" s="187" t="s">
        <v>219</v>
      </c>
      <c r="O5" s="61"/>
      <c r="P5" s="61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2" x14ac:dyDescent="0.3">
      <c r="B6" s="89">
        <v>2005</v>
      </c>
      <c r="C6" s="60">
        <v>2005</v>
      </c>
      <c r="D6" s="60">
        <v>2005</v>
      </c>
      <c r="E6" s="60">
        <v>2005</v>
      </c>
      <c r="F6" s="60">
        <v>2005</v>
      </c>
      <c r="G6" s="60">
        <v>2005</v>
      </c>
      <c r="H6" s="60">
        <v>2006</v>
      </c>
      <c r="I6" s="60">
        <v>2006</v>
      </c>
      <c r="J6" s="60">
        <v>2006</v>
      </c>
      <c r="K6" s="60">
        <v>2006</v>
      </c>
      <c r="L6" s="60">
        <v>2006</v>
      </c>
      <c r="M6" s="88">
        <v>2006</v>
      </c>
      <c r="N6" s="187" t="s">
        <v>218</v>
      </c>
      <c r="O6" s="60" t="s">
        <v>219</v>
      </c>
      <c r="P6" s="61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3"/>
    </row>
    <row r="7" spans="1:32" x14ac:dyDescent="0.3">
      <c r="B7" s="89">
        <v>2006</v>
      </c>
      <c r="C7" s="60">
        <v>2006</v>
      </c>
      <c r="D7" s="60">
        <v>2006</v>
      </c>
      <c r="E7" s="60">
        <v>2006</v>
      </c>
      <c r="F7" s="60">
        <v>2006</v>
      </c>
      <c r="G7" s="60">
        <v>2006</v>
      </c>
      <c r="H7" s="60">
        <v>2007</v>
      </c>
      <c r="I7" s="60">
        <v>2007</v>
      </c>
      <c r="J7" s="60">
        <v>2007</v>
      </c>
      <c r="K7" s="60">
        <v>2007</v>
      </c>
      <c r="L7" s="60">
        <v>2007</v>
      </c>
      <c r="M7" s="88">
        <v>2007</v>
      </c>
      <c r="N7" s="187" t="s">
        <v>217</v>
      </c>
      <c r="O7" s="60" t="s">
        <v>218</v>
      </c>
      <c r="P7" s="60" t="s">
        <v>219</v>
      </c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3"/>
    </row>
    <row r="8" spans="1:32" x14ac:dyDescent="0.3">
      <c r="B8" s="89">
        <v>2007</v>
      </c>
      <c r="C8" s="60">
        <v>2007</v>
      </c>
      <c r="D8" s="60">
        <v>2007</v>
      </c>
      <c r="E8" s="60">
        <v>2007</v>
      </c>
      <c r="F8" s="60">
        <v>2007</v>
      </c>
      <c r="G8" s="60">
        <v>2007</v>
      </c>
      <c r="H8" s="60">
        <v>2008</v>
      </c>
      <c r="I8" s="60">
        <v>2008</v>
      </c>
      <c r="J8" s="60">
        <v>2008</v>
      </c>
      <c r="K8" s="60">
        <v>2008</v>
      </c>
      <c r="L8" s="60">
        <v>2008</v>
      </c>
      <c r="M8" s="88">
        <v>2008</v>
      </c>
      <c r="N8" s="187" t="s">
        <v>216</v>
      </c>
      <c r="O8" s="58" t="s">
        <v>217</v>
      </c>
      <c r="P8" s="58" t="s">
        <v>218</v>
      </c>
      <c r="Q8" s="58" t="s">
        <v>219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3"/>
    </row>
    <row r="9" spans="1:32" x14ac:dyDescent="0.3">
      <c r="B9" s="89">
        <v>2008</v>
      </c>
      <c r="C9" s="60">
        <v>2008</v>
      </c>
      <c r="D9" s="60">
        <v>2008</v>
      </c>
      <c r="E9" s="60">
        <v>2008</v>
      </c>
      <c r="F9" s="60">
        <v>2008</v>
      </c>
      <c r="G9" s="60">
        <v>2008</v>
      </c>
      <c r="H9" s="60">
        <v>2009</v>
      </c>
      <c r="I9" s="60">
        <v>2009</v>
      </c>
      <c r="J9" s="60">
        <v>2009</v>
      </c>
      <c r="K9" s="60">
        <v>2009</v>
      </c>
      <c r="L9" s="60">
        <v>2009</v>
      </c>
      <c r="M9" s="88">
        <v>2009</v>
      </c>
      <c r="N9" s="187" t="s">
        <v>220</v>
      </c>
      <c r="O9" s="58" t="s">
        <v>216</v>
      </c>
      <c r="P9" s="58" t="s">
        <v>217</v>
      </c>
      <c r="Q9" s="58" t="s">
        <v>218</v>
      </c>
      <c r="R9" s="58" t="s">
        <v>219</v>
      </c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3"/>
    </row>
    <row r="10" spans="1:32" x14ac:dyDescent="0.3">
      <c r="B10" s="89">
        <v>2009</v>
      </c>
      <c r="C10" s="60">
        <v>2009</v>
      </c>
      <c r="D10" s="60">
        <v>2009</v>
      </c>
      <c r="E10" s="60">
        <v>2009</v>
      </c>
      <c r="F10" s="60">
        <v>2009</v>
      </c>
      <c r="G10" s="60">
        <v>2009</v>
      </c>
      <c r="H10" s="60">
        <v>2010</v>
      </c>
      <c r="I10" s="60">
        <v>2010</v>
      </c>
      <c r="J10" s="60">
        <v>2010</v>
      </c>
      <c r="K10" s="60">
        <v>2010</v>
      </c>
      <c r="L10" s="60">
        <v>2010</v>
      </c>
      <c r="M10" s="88">
        <v>2010</v>
      </c>
      <c r="N10" s="187" t="s">
        <v>221</v>
      </c>
      <c r="O10" s="58" t="s">
        <v>220</v>
      </c>
      <c r="P10" s="58" t="s">
        <v>216</v>
      </c>
      <c r="Q10" s="58" t="s">
        <v>217</v>
      </c>
      <c r="R10" s="58" t="s">
        <v>218</v>
      </c>
      <c r="S10" s="58" t="s">
        <v>219</v>
      </c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3"/>
    </row>
    <row r="11" spans="1:32" x14ac:dyDescent="0.3">
      <c r="B11" s="89">
        <v>2010</v>
      </c>
      <c r="C11" s="60">
        <v>2010</v>
      </c>
      <c r="D11" s="60">
        <v>2010</v>
      </c>
      <c r="E11" s="60">
        <v>2010</v>
      </c>
      <c r="F11" s="60">
        <v>2010</v>
      </c>
      <c r="G11" s="60">
        <v>2010</v>
      </c>
      <c r="H11" s="60">
        <v>2011</v>
      </c>
      <c r="I11" s="60">
        <v>2011</v>
      </c>
      <c r="J11" s="60">
        <v>2011</v>
      </c>
      <c r="K11" s="60">
        <v>2011</v>
      </c>
      <c r="L11" s="60">
        <v>2011</v>
      </c>
      <c r="M11" s="88">
        <v>2011</v>
      </c>
      <c r="N11" s="187" t="s">
        <v>222</v>
      </c>
      <c r="O11" s="58" t="s">
        <v>221</v>
      </c>
      <c r="P11" s="58" t="s">
        <v>220</v>
      </c>
      <c r="Q11" s="58" t="s">
        <v>216</v>
      </c>
      <c r="R11" s="58" t="s">
        <v>217</v>
      </c>
      <c r="S11" s="58" t="s">
        <v>218</v>
      </c>
      <c r="T11" s="58" t="s">
        <v>219</v>
      </c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3"/>
    </row>
    <row r="12" spans="1:32" x14ac:dyDescent="0.3">
      <c r="B12" s="89">
        <v>2011</v>
      </c>
      <c r="C12" s="60">
        <v>2011</v>
      </c>
      <c r="D12" s="60">
        <v>2011</v>
      </c>
      <c r="E12" s="60">
        <v>2011</v>
      </c>
      <c r="F12" s="60">
        <v>2011</v>
      </c>
      <c r="G12" s="60">
        <v>2011</v>
      </c>
      <c r="H12" s="60">
        <v>2012</v>
      </c>
      <c r="I12" s="60">
        <v>2012</v>
      </c>
      <c r="J12" s="60">
        <v>2012</v>
      </c>
      <c r="K12" s="60">
        <v>2012</v>
      </c>
      <c r="L12" s="60">
        <v>2012</v>
      </c>
      <c r="M12" s="88">
        <v>2012</v>
      </c>
      <c r="N12" s="187" t="s">
        <v>223</v>
      </c>
      <c r="O12" s="58" t="s">
        <v>222</v>
      </c>
      <c r="P12" s="58" t="s">
        <v>221</v>
      </c>
      <c r="Q12" s="58" t="s">
        <v>220</v>
      </c>
      <c r="R12" s="58" t="s">
        <v>216</v>
      </c>
      <c r="S12" s="58" t="s">
        <v>217</v>
      </c>
      <c r="T12" s="58" t="s">
        <v>218</v>
      </c>
      <c r="U12" s="58" t="s">
        <v>219</v>
      </c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3"/>
    </row>
    <row r="13" spans="1:32" x14ac:dyDescent="0.3">
      <c r="B13" s="64">
        <v>2012</v>
      </c>
      <c r="C13" s="58">
        <v>2012</v>
      </c>
      <c r="D13" s="58">
        <v>2012</v>
      </c>
      <c r="E13" s="58">
        <v>2012</v>
      </c>
      <c r="F13" s="58">
        <v>2012</v>
      </c>
      <c r="G13" s="58">
        <v>2012</v>
      </c>
      <c r="H13" s="58">
        <v>2013</v>
      </c>
      <c r="I13" s="58">
        <v>2013</v>
      </c>
      <c r="J13" s="58">
        <v>2013</v>
      </c>
      <c r="K13" s="58">
        <v>2013</v>
      </c>
      <c r="L13" s="58">
        <v>2013</v>
      </c>
      <c r="M13" s="59">
        <v>2013</v>
      </c>
      <c r="N13" s="187" t="s">
        <v>224</v>
      </c>
      <c r="O13" s="58" t="s">
        <v>223</v>
      </c>
      <c r="P13" s="58" t="s">
        <v>222</v>
      </c>
      <c r="Q13" s="58" t="s">
        <v>221</v>
      </c>
      <c r="R13" s="58" t="s">
        <v>220</v>
      </c>
      <c r="S13" s="58" t="s">
        <v>216</v>
      </c>
      <c r="T13" s="58" t="s">
        <v>217</v>
      </c>
      <c r="U13" s="58" t="s">
        <v>218</v>
      </c>
      <c r="V13" s="58" t="s">
        <v>219</v>
      </c>
      <c r="W13" s="62"/>
      <c r="X13" s="62"/>
      <c r="Y13" s="62"/>
      <c r="Z13" s="62"/>
      <c r="AA13" s="62"/>
      <c r="AB13" s="62"/>
      <c r="AC13" s="62"/>
      <c r="AD13" s="62"/>
      <c r="AE13" s="62"/>
      <c r="AF13" s="63"/>
    </row>
    <row r="14" spans="1:32" x14ac:dyDescent="0.3">
      <c r="B14" s="64">
        <v>2013</v>
      </c>
      <c r="C14" s="58">
        <v>2013</v>
      </c>
      <c r="D14" s="58">
        <v>2013</v>
      </c>
      <c r="E14" s="58">
        <v>2013</v>
      </c>
      <c r="F14" s="58">
        <v>2013</v>
      </c>
      <c r="G14" s="58">
        <v>2013</v>
      </c>
      <c r="H14" s="58">
        <v>2014</v>
      </c>
      <c r="I14" s="58">
        <v>2014</v>
      </c>
      <c r="J14" s="58">
        <v>2014</v>
      </c>
      <c r="K14" s="58">
        <v>2014</v>
      </c>
      <c r="L14" s="58">
        <v>2014</v>
      </c>
      <c r="M14" s="59">
        <v>2014</v>
      </c>
      <c r="N14" s="187" t="s">
        <v>225</v>
      </c>
      <c r="O14" s="58" t="s">
        <v>224</v>
      </c>
      <c r="P14" s="58" t="s">
        <v>223</v>
      </c>
      <c r="Q14" s="58" t="s">
        <v>222</v>
      </c>
      <c r="R14" s="58" t="s">
        <v>221</v>
      </c>
      <c r="S14" s="58" t="s">
        <v>220</v>
      </c>
      <c r="T14" s="58" t="s">
        <v>216</v>
      </c>
      <c r="U14" s="58" t="s">
        <v>217</v>
      </c>
      <c r="V14" s="58" t="s">
        <v>218</v>
      </c>
      <c r="W14" s="58" t="s">
        <v>219</v>
      </c>
      <c r="X14" s="62"/>
      <c r="Y14" s="62"/>
      <c r="Z14" s="62"/>
      <c r="AA14" s="62"/>
      <c r="AB14" s="62"/>
      <c r="AC14" s="62"/>
      <c r="AD14" s="62"/>
      <c r="AE14" s="62"/>
      <c r="AF14" s="63"/>
    </row>
    <row r="15" spans="1:32" x14ac:dyDescent="0.3">
      <c r="B15" s="64">
        <v>2014</v>
      </c>
      <c r="C15" s="58">
        <v>2014</v>
      </c>
      <c r="D15" s="58">
        <v>2014</v>
      </c>
      <c r="E15" s="58">
        <v>2014</v>
      </c>
      <c r="F15" s="58">
        <v>2014</v>
      </c>
      <c r="G15" s="58">
        <v>2014</v>
      </c>
      <c r="H15" s="58">
        <v>2015</v>
      </c>
      <c r="I15" s="58">
        <v>2015</v>
      </c>
      <c r="J15" s="58">
        <v>2015</v>
      </c>
      <c r="K15" s="58">
        <v>2015</v>
      </c>
      <c r="L15" s="58">
        <v>2015</v>
      </c>
      <c r="M15" s="59">
        <v>2015</v>
      </c>
      <c r="N15" s="188"/>
      <c r="O15" s="58" t="s">
        <v>225</v>
      </c>
      <c r="P15" s="58" t="s">
        <v>224</v>
      </c>
      <c r="Q15" s="58" t="s">
        <v>223</v>
      </c>
      <c r="R15" s="58" t="s">
        <v>222</v>
      </c>
      <c r="S15" s="58" t="s">
        <v>221</v>
      </c>
      <c r="T15" s="58" t="s">
        <v>220</v>
      </c>
      <c r="U15" s="58" t="s">
        <v>216</v>
      </c>
      <c r="V15" s="58" t="s">
        <v>217</v>
      </c>
      <c r="W15" s="58" t="s">
        <v>218</v>
      </c>
      <c r="X15" s="58" t="s">
        <v>219</v>
      </c>
      <c r="Y15" s="62"/>
      <c r="Z15" s="62"/>
      <c r="AA15" s="62"/>
      <c r="AB15" s="62"/>
      <c r="AC15" s="62"/>
      <c r="AD15" s="62"/>
      <c r="AE15" s="62"/>
      <c r="AF15" s="63"/>
    </row>
    <row r="16" spans="1:32" x14ac:dyDescent="0.3">
      <c r="B16" s="64">
        <v>2015</v>
      </c>
      <c r="C16" s="58">
        <v>2015</v>
      </c>
      <c r="D16" s="58">
        <v>2015</v>
      </c>
      <c r="E16" s="58">
        <v>2015</v>
      </c>
      <c r="F16" s="58">
        <v>2015</v>
      </c>
      <c r="G16" s="58">
        <v>2015</v>
      </c>
      <c r="H16" s="58">
        <v>2016</v>
      </c>
      <c r="I16" s="58">
        <v>2016</v>
      </c>
      <c r="J16" s="58">
        <v>2016</v>
      </c>
      <c r="K16" s="58">
        <v>2016</v>
      </c>
      <c r="L16" s="58">
        <v>2016</v>
      </c>
      <c r="M16" s="59">
        <v>2016</v>
      </c>
      <c r="N16" s="188"/>
      <c r="O16" s="62"/>
      <c r="P16" s="58" t="s">
        <v>225</v>
      </c>
      <c r="Q16" s="58" t="s">
        <v>224</v>
      </c>
      <c r="R16" s="58" t="s">
        <v>223</v>
      </c>
      <c r="S16" s="58" t="s">
        <v>222</v>
      </c>
      <c r="T16" s="58" t="s">
        <v>221</v>
      </c>
      <c r="U16" s="58" t="s">
        <v>220</v>
      </c>
      <c r="V16" s="58" t="s">
        <v>216</v>
      </c>
      <c r="W16" s="58" t="s">
        <v>217</v>
      </c>
      <c r="X16" s="58" t="s">
        <v>218</v>
      </c>
      <c r="Y16" s="58" t="s">
        <v>219</v>
      </c>
      <c r="Z16" s="62"/>
      <c r="AA16" s="62"/>
      <c r="AB16" s="62"/>
      <c r="AC16" s="62"/>
      <c r="AD16" s="62"/>
      <c r="AE16" s="62"/>
      <c r="AF16" s="63"/>
    </row>
    <row r="17" spans="2:32" x14ac:dyDescent="0.3">
      <c r="B17" s="175">
        <v>2016</v>
      </c>
      <c r="C17" s="176">
        <v>2016</v>
      </c>
      <c r="D17" s="176">
        <v>2016</v>
      </c>
      <c r="E17" s="176">
        <v>2016</v>
      </c>
      <c r="F17" s="176">
        <v>2016</v>
      </c>
      <c r="G17" s="176">
        <v>2016</v>
      </c>
      <c r="H17" s="176">
        <v>2017</v>
      </c>
      <c r="I17" s="176">
        <v>2017</v>
      </c>
      <c r="J17" s="176">
        <v>2017</v>
      </c>
      <c r="K17" s="176">
        <v>2017</v>
      </c>
      <c r="L17" s="176">
        <v>2017</v>
      </c>
      <c r="M17" s="177">
        <v>2017</v>
      </c>
      <c r="N17" s="188"/>
      <c r="O17" s="62"/>
      <c r="P17" s="62"/>
      <c r="Q17" s="58" t="s">
        <v>225</v>
      </c>
      <c r="R17" s="58" t="s">
        <v>224</v>
      </c>
      <c r="S17" s="58" t="s">
        <v>223</v>
      </c>
      <c r="T17" s="58" t="s">
        <v>222</v>
      </c>
      <c r="U17" s="58" t="s">
        <v>221</v>
      </c>
      <c r="V17" s="58" t="s">
        <v>220</v>
      </c>
      <c r="W17" s="58" t="s">
        <v>216</v>
      </c>
      <c r="X17" s="58" t="s">
        <v>217</v>
      </c>
      <c r="Y17" s="58" t="s">
        <v>218</v>
      </c>
      <c r="Z17" s="58" t="s">
        <v>219</v>
      </c>
      <c r="AA17" s="62"/>
      <c r="AB17" s="62"/>
      <c r="AC17" s="62"/>
      <c r="AD17" s="62"/>
      <c r="AE17" s="62"/>
      <c r="AF17" s="63"/>
    </row>
    <row r="18" spans="2:32" x14ac:dyDescent="0.3">
      <c r="B18" s="64">
        <v>2017</v>
      </c>
      <c r="C18" s="58">
        <v>2017</v>
      </c>
      <c r="D18" s="58">
        <v>2017</v>
      </c>
      <c r="E18" s="58">
        <v>2017</v>
      </c>
      <c r="F18" s="58">
        <v>2017</v>
      </c>
      <c r="G18" s="58">
        <v>2017</v>
      </c>
      <c r="H18" s="178">
        <v>2018</v>
      </c>
      <c r="I18" s="178">
        <v>2018</v>
      </c>
      <c r="J18" s="178">
        <v>2018</v>
      </c>
      <c r="K18" s="178">
        <v>2018</v>
      </c>
      <c r="L18" s="178">
        <v>2018</v>
      </c>
      <c r="M18" s="179">
        <v>2018</v>
      </c>
      <c r="N18" s="189"/>
      <c r="O18" s="178"/>
      <c r="P18" s="178"/>
      <c r="Q18" s="178"/>
      <c r="R18" s="58" t="s">
        <v>225</v>
      </c>
      <c r="S18" s="58" t="s">
        <v>224</v>
      </c>
      <c r="T18" s="58" t="s">
        <v>223</v>
      </c>
      <c r="U18" s="58" t="s">
        <v>222</v>
      </c>
      <c r="V18" s="58" t="s">
        <v>221</v>
      </c>
      <c r="W18" s="58" t="s">
        <v>220</v>
      </c>
      <c r="X18" s="58" t="s">
        <v>216</v>
      </c>
      <c r="Y18" s="58" t="s">
        <v>217</v>
      </c>
      <c r="Z18" s="58" t="s">
        <v>218</v>
      </c>
      <c r="AA18" s="58" t="s">
        <v>219</v>
      </c>
      <c r="AB18" s="62"/>
      <c r="AC18" s="62"/>
      <c r="AD18" s="62"/>
      <c r="AE18" s="62"/>
      <c r="AF18" s="63"/>
    </row>
    <row r="19" spans="2:32" x14ac:dyDescent="0.3">
      <c r="B19" s="182">
        <v>2018</v>
      </c>
      <c r="C19" s="178">
        <v>2018</v>
      </c>
      <c r="D19" s="178">
        <v>2018</v>
      </c>
      <c r="E19" s="178">
        <v>2018</v>
      </c>
      <c r="F19" s="178">
        <v>2018</v>
      </c>
      <c r="G19" s="178">
        <v>2018</v>
      </c>
      <c r="H19" s="178">
        <v>2019</v>
      </c>
      <c r="I19" s="178">
        <v>2019</v>
      </c>
      <c r="J19" s="178">
        <v>2019</v>
      </c>
      <c r="K19" s="178">
        <v>2019</v>
      </c>
      <c r="L19" s="178">
        <v>2019</v>
      </c>
      <c r="M19" s="179">
        <v>2019</v>
      </c>
      <c r="N19" s="189"/>
      <c r="O19" s="178"/>
      <c r="P19" s="178"/>
      <c r="Q19" s="178"/>
      <c r="R19" s="178"/>
      <c r="S19" s="58" t="s">
        <v>225</v>
      </c>
      <c r="T19" s="58" t="s">
        <v>224</v>
      </c>
      <c r="U19" s="58" t="s">
        <v>223</v>
      </c>
      <c r="V19" s="58" t="s">
        <v>222</v>
      </c>
      <c r="W19" s="58" t="s">
        <v>221</v>
      </c>
      <c r="X19" s="58" t="s">
        <v>220</v>
      </c>
      <c r="Y19" s="58" t="s">
        <v>216</v>
      </c>
      <c r="Z19" s="58" t="s">
        <v>217</v>
      </c>
      <c r="AA19" s="58" t="s">
        <v>218</v>
      </c>
      <c r="AB19" s="58" t="s">
        <v>219</v>
      </c>
      <c r="AC19" s="62"/>
      <c r="AD19" s="62"/>
      <c r="AE19" s="62"/>
      <c r="AF19" s="63"/>
    </row>
    <row r="20" spans="2:32" x14ac:dyDescent="0.3">
      <c r="B20" s="182">
        <v>2019</v>
      </c>
      <c r="C20" s="178">
        <v>2019</v>
      </c>
      <c r="D20" s="178">
        <v>2019</v>
      </c>
      <c r="E20" s="178">
        <v>2019</v>
      </c>
      <c r="F20" s="178">
        <v>2019</v>
      </c>
      <c r="G20" s="178">
        <v>2019</v>
      </c>
      <c r="H20" s="178">
        <v>2020</v>
      </c>
      <c r="I20" s="178">
        <v>2020</v>
      </c>
      <c r="J20" s="178">
        <v>2020</v>
      </c>
      <c r="K20" s="178">
        <v>2020</v>
      </c>
      <c r="L20" s="178">
        <v>2020</v>
      </c>
      <c r="M20" s="179">
        <v>2020</v>
      </c>
      <c r="N20" s="189"/>
      <c r="O20" s="178"/>
      <c r="P20" s="178"/>
      <c r="Q20" s="178"/>
      <c r="R20" s="178"/>
      <c r="S20" s="178"/>
      <c r="T20" s="58" t="s">
        <v>225</v>
      </c>
      <c r="U20" s="58" t="s">
        <v>224</v>
      </c>
      <c r="V20" s="58" t="s">
        <v>223</v>
      </c>
      <c r="W20" s="58" t="s">
        <v>222</v>
      </c>
      <c r="X20" s="58" t="s">
        <v>221</v>
      </c>
      <c r="Y20" s="58" t="s">
        <v>220</v>
      </c>
      <c r="Z20" s="58" t="s">
        <v>216</v>
      </c>
      <c r="AA20" s="58" t="s">
        <v>217</v>
      </c>
      <c r="AB20" s="58" t="s">
        <v>218</v>
      </c>
      <c r="AC20" s="58" t="s">
        <v>219</v>
      </c>
      <c r="AD20" s="62"/>
      <c r="AE20" s="62"/>
      <c r="AF20" s="63"/>
    </row>
    <row r="21" spans="2:32" x14ac:dyDescent="0.3">
      <c r="B21" s="182">
        <v>2020</v>
      </c>
      <c r="C21" s="178">
        <v>2020</v>
      </c>
      <c r="D21" s="178">
        <v>2020</v>
      </c>
      <c r="E21" s="178">
        <v>2020</v>
      </c>
      <c r="F21" s="178">
        <v>2020</v>
      </c>
      <c r="G21" s="178">
        <v>2020</v>
      </c>
      <c r="H21" s="178">
        <v>2021</v>
      </c>
      <c r="I21" s="178">
        <v>2021</v>
      </c>
      <c r="J21" s="178">
        <v>2021</v>
      </c>
      <c r="K21" s="178">
        <v>2021</v>
      </c>
      <c r="L21" s="178">
        <v>2021</v>
      </c>
      <c r="M21" s="179">
        <v>2021</v>
      </c>
      <c r="N21" s="189"/>
      <c r="O21" s="178"/>
      <c r="P21" s="178"/>
      <c r="Q21" s="178"/>
      <c r="R21" s="178"/>
      <c r="S21" s="178"/>
      <c r="T21" s="178"/>
      <c r="U21" s="58" t="s">
        <v>225</v>
      </c>
      <c r="V21" s="58" t="s">
        <v>224</v>
      </c>
      <c r="W21" s="58" t="s">
        <v>223</v>
      </c>
      <c r="X21" s="58" t="s">
        <v>222</v>
      </c>
      <c r="Y21" s="58" t="s">
        <v>221</v>
      </c>
      <c r="Z21" s="58" t="s">
        <v>220</v>
      </c>
      <c r="AA21" s="58" t="s">
        <v>216</v>
      </c>
      <c r="AB21" s="58" t="s">
        <v>217</v>
      </c>
      <c r="AC21" s="58" t="s">
        <v>218</v>
      </c>
      <c r="AD21" s="58" t="s">
        <v>219</v>
      </c>
      <c r="AE21" s="62"/>
      <c r="AF21" s="63"/>
    </row>
    <row r="22" spans="2:32" x14ac:dyDescent="0.3">
      <c r="B22" s="182">
        <v>2021</v>
      </c>
      <c r="C22" s="178">
        <v>2021</v>
      </c>
      <c r="D22" s="178">
        <v>2021</v>
      </c>
      <c r="E22" s="178">
        <v>2021</v>
      </c>
      <c r="F22" s="178">
        <v>2021</v>
      </c>
      <c r="G22" s="178">
        <v>2021</v>
      </c>
      <c r="H22" s="178">
        <v>2022</v>
      </c>
      <c r="I22" s="178">
        <v>2022</v>
      </c>
      <c r="J22" s="178">
        <v>2022</v>
      </c>
      <c r="K22" s="178">
        <v>2022</v>
      </c>
      <c r="L22" s="178">
        <v>2022</v>
      </c>
      <c r="M22" s="179">
        <v>2022</v>
      </c>
      <c r="N22" s="189"/>
      <c r="O22" s="178"/>
      <c r="P22" s="178"/>
      <c r="Q22" s="178"/>
      <c r="R22" s="178"/>
      <c r="S22" s="178"/>
      <c r="T22" s="178"/>
      <c r="U22" s="178"/>
      <c r="V22" s="58" t="s">
        <v>225</v>
      </c>
      <c r="W22" s="58" t="s">
        <v>224</v>
      </c>
      <c r="X22" s="58" t="s">
        <v>223</v>
      </c>
      <c r="Y22" s="58" t="s">
        <v>222</v>
      </c>
      <c r="Z22" s="58" t="s">
        <v>221</v>
      </c>
      <c r="AA22" s="58" t="s">
        <v>220</v>
      </c>
      <c r="AB22" s="58" t="s">
        <v>216</v>
      </c>
      <c r="AC22" s="58" t="s">
        <v>217</v>
      </c>
      <c r="AD22" s="58" t="s">
        <v>218</v>
      </c>
      <c r="AE22" s="58" t="s">
        <v>219</v>
      </c>
      <c r="AF22" s="63"/>
    </row>
    <row r="23" spans="2:32" ht="15" thickBot="1" x14ac:dyDescent="0.35">
      <c r="B23" s="183">
        <v>2022</v>
      </c>
      <c r="C23" s="184">
        <v>2022</v>
      </c>
      <c r="D23" s="184">
        <v>2022</v>
      </c>
      <c r="E23" s="184">
        <v>2022</v>
      </c>
      <c r="F23" s="184">
        <v>2022</v>
      </c>
      <c r="G23" s="184">
        <v>2022</v>
      </c>
      <c r="H23" s="184">
        <v>2023</v>
      </c>
      <c r="I23" s="184">
        <v>2023</v>
      </c>
      <c r="J23" s="184">
        <v>2023</v>
      </c>
      <c r="K23" s="184">
        <v>2023</v>
      </c>
      <c r="L23" s="184">
        <v>2023</v>
      </c>
      <c r="M23" s="191">
        <v>2023</v>
      </c>
      <c r="N23" s="190"/>
      <c r="O23" s="184"/>
      <c r="P23" s="184"/>
      <c r="Q23" s="184"/>
      <c r="R23" s="184"/>
      <c r="S23" s="184"/>
      <c r="T23" s="184"/>
      <c r="U23" s="184"/>
      <c r="V23" s="184"/>
      <c r="W23" s="65" t="s">
        <v>225</v>
      </c>
      <c r="X23" s="65" t="s">
        <v>224</v>
      </c>
      <c r="Y23" s="65" t="s">
        <v>223</v>
      </c>
      <c r="Z23" s="65" t="s">
        <v>222</v>
      </c>
      <c r="AA23" s="65" t="s">
        <v>221</v>
      </c>
      <c r="AB23" s="65" t="s">
        <v>220</v>
      </c>
      <c r="AC23" s="65" t="s">
        <v>216</v>
      </c>
      <c r="AD23" s="65" t="s">
        <v>217</v>
      </c>
      <c r="AE23" s="65" t="s">
        <v>218</v>
      </c>
      <c r="AF23" s="66" t="s">
        <v>219</v>
      </c>
    </row>
  </sheetData>
  <sheetProtection algorithmName="SHA-512" hashValue="/D88JLahNTQbYupuGlMKcghNSIRJQBWmV9xtImIS4kJ4EpjyzpbepI4iE4Lp28OAnTE2O7KJs5HKDiXHs3tolA==" saltValue="PvAia4GYv8Z37uQnMMzfww==" spinCount="100000" sheet="1" objects="1" scenarios="1"/>
  <mergeCells count="2">
    <mergeCell ref="B2:M2"/>
    <mergeCell ref="N2:AF2"/>
  </mergeCells>
  <printOptions horizontalCentered="1" verticalCentered="1"/>
  <pageMargins left="0" right="0" top="0" bottom="0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selection activeCell="C1" sqref="C1"/>
    </sheetView>
  </sheetViews>
  <sheetFormatPr baseColWidth="10" defaultRowHeight="14.4" x14ac:dyDescent="0.3"/>
  <cols>
    <col min="1" max="1" width="27.6640625" style="217" customWidth="1"/>
    <col min="2" max="2" width="11.44140625" style="222"/>
    <col min="3" max="3" width="47.44140625" style="216" bestFit="1" customWidth="1"/>
    <col min="6" max="6" width="42.6640625" bestFit="1" customWidth="1"/>
  </cols>
  <sheetData>
    <row r="1" spans="1:2" x14ac:dyDescent="0.3">
      <c r="A1" s="221" t="s">
        <v>425</v>
      </c>
      <c r="B1" s="223">
        <v>12</v>
      </c>
    </row>
    <row r="2" spans="1:2" ht="15" customHeight="1" x14ac:dyDescent="0.3">
      <c r="A2" s="218" t="s">
        <v>394</v>
      </c>
    </row>
    <row r="3" spans="1:2" ht="15" customHeight="1" x14ac:dyDescent="0.3">
      <c r="A3" s="220" t="s">
        <v>346</v>
      </c>
    </row>
    <row r="4" spans="1:2" x14ac:dyDescent="0.3">
      <c r="A4" s="220" t="s">
        <v>360</v>
      </c>
    </row>
    <row r="5" spans="1:2" x14ac:dyDescent="0.3">
      <c r="A5" s="218" t="s">
        <v>434</v>
      </c>
    </row>
    <row r="6" spans="1:2" x14ac:dyDescent="0.3">
      <c r="A6" s="219" t="s">
        <v>285</v>
      </c>
    </row>
    <row r="7" spans="1:2" x14ac:dyDescent="0.3">
      <c r="A7" s="218" t="s">
        <v>435</v>
      </c>
    </row>
    <row r="8" spans="1:2" x14ac:dyDescent="0.3">
      <c r="A8" s="218" t="s">
        <v>325</v>
      </c>
    </row>
    <row r="9" spans="1:2" x14ac:dyDescent="0.3">
      <c r="A9" s="218" t="s">
        <v>362</v>
      </c>
    </row>
    <row r="10" spans="1:2" x14ac:dyDescent="0.3">
      <c r="A10" s="220" t="s">
        <v>341</v>
      </c>
    </row>
    <row r="11" spans="1:2" x14ac:dyDescent="0.3">
      <c r="A11" s="220" t="s">
        <v>255</v>
      </c>
    </row>
    <row r="12" spans="1:2" x14ac:dyDescent="0.3">
      <c r="A12" s="220" t="s">
        <v>446</v>
      </c>
    </row>
    <row r="13" spans="1:2" x14ac:dyDescent="0.3">
      <c r="A13" s="220" t="s">
        <v>348</v>
      </c>
    </row>
    <row r="14" spans="1:2" x14ac:dyDescent="0.3">
      <c r="A14" s="220"/>
    </row>
    <row r="15" spans="1:2" x14ac:dyDescent="0.3">
      <c r="A15" s="221" t="s">
        <v>426</v>
      </c>
      <c r="B15" s="223">
        <v>7</v>
      </c>
    </row>
    <row r="16" spans="1:2" x14ac:dyDescent="0.3">
      <c r="A16" s="218" t="s">
        <v>430</v>
      </c>
    </row>
    <row r="17" spans="1:2" x14ac:dyDescent="0.3">
      <c r="A17" s="218" t="s">
        <v>351</v>
      </c>
    </row>
    <row r="18" spans="1:2" x14ac:dyDescent="0.3">
      <c r="A18" s="220" t="s">
        <v>412</v>
      </c>
    </row>
    <row r="19" spans="1:2" x14ac:dyDescent="0.3">
      <c r="A19" s="218" t="s">
        <v>436</v>
      </c>
    </row>
    <row r="20" spans="1:2" x14ac:dyDescent="0.3">
      <c r="A20" s="218" t="s">
        <v>313</v>
      </c>
    </row>
    <row r="21" spans="1:2" x14ac:dyDescent="0.3">
      <c r="A21" s="218" t="s">
        <v>429</v>
      </c>
    </row>
    <row r="22" spans="1:2" x14ac:dyDescent="0.3">
      <c r="A22" s="218" t="s">
        <v>385</v>
      </c>
    </row>
    <row r="23" spans="1:2" x14ac:dyDescent="0.3">
      <c r="A23" s="218"/>
    </row>
    <row r="24" spans="1:2" x14ac:dyDescent="0.3">
      <c r="A24" s="221" t="s">
        <v>427</v>
      </c>
      <c r="B24" s="223">
        <v>12</v>
      </c>
    </row>
    <row r="25" spans="1:2" x14ac:dyDescent="0.3">
      <c r="A25" s="218" t="s">
        <v>432</v>
      </c>
    </row>
    <row r="26" spans="1:2" x14ac:dyDescent="0.3">
      <c r="A26" s="220" t="s">
        <v>297</v>
      </c>
    </row>
    <row r="27" spans="1:2" x14ac:dyDescent="0.3">
      <c r="A27" s="218" t="s">
        <v>304</v>
      </c>
    </row>
    <row r="28" spans="1:2" x14ac:dyDescent="0.3">
      <c r="A28" s="218" t="s">
        <v>353</v>
      </c>
    </row>
    <row r="29" spans="1:2" x14ac:dyDescent="0.3">
      <c r="A29" s="220" t="s">
        <v>438</v>
      </c>
    </row>
    <row r="30" spans="1:2" x14ac:dyDescent="0.3">
      <c r="A30" s="220" t="s">
        <v>286</v>
      </c>
    </row>
    <row r="31" spans="1:2" x14ac:dyDescent="0.3">
      <c r="A31" s="218" t="s">
        <v>291</v>
      </c>
    </row>
    <row r="32" spans="1:2" x14ac:dyDescent="0.3">
      <c r="A32" s="218" t="s">
        <v>437</v>
      </c>
    </row>
    <row r="33" spans="1:2" x14ac:dyDescent="0.3">
      <c r="A33" s="220" t="s">
        <v>318</v>
      </c>
    </row>
    <row r="34" spans="1:2" x14ac:dyDescent="0.3">
      <c r="A34" s="220" t="s">
        <v>310</v>
      </c>
    </row>
    <row r="35" spans="1:2" x14ac:dyDescent="0.3">
      <c r="A35" s="218" t="s">
        <v>431</v>
      </c>
    </row>
    <row r="36" spans="1:2" x14ac:dyDescent="0.3">
      <c r="A36" s="220" t="s">
        <v>439</v>
      </c>
    </row>
    <row r="38" spans="1:2" x14ac:dyDescent="0.3">
      <c r="A38" s="221" t="s">
        <v>428</v>
      </c>
      <c r="B38" s="223">
        <v>13</v>
      </c>
    </row>
    <row r="39" spans="1:2" x14ac:dyDescent="0.3">
      <c r="A39" s="220" t="s">
        <v>337</v>
      </c>
    </row>
    <row r="40" spans="1:2" x14ac:dyDescent="0.3">
      <c r="A40" s="220" t="s">
        <v>443</v>
      </c>
    </row>
    <row r="41" spans="1:2" x14ac:dyDescent="0.3">
      <c r="A41" s="218" t="s">
        <v>323</v>
      </c>
    </row>
    <row r="42" spans="1:2" x14ac:dyDescent="0.3">
      <c r="A42" s="220" t="s">
        <v>442</v>
      </c>
    </row>
    <row r="43" spans="1:2" x14ac:dyDescent="0.3">
      <c r="A43" s="218" t="s">
        <v>305</v>
      </c>
    </row>
    <row r="44" spans="1:2" x14ac:dyDescent="0.3">
      <c r="A44" s="218" t="s">
        <v>314</v>
      </c>
    </row>
    <row r="45" spans="1:2" x14ac:dyDescent="0.3">
      <c r="A45" s="220" t="s">
        <v>445</v>
      </c>
    </row>
    <row r="46" spans="1:2" x14ac:dyDescent="0.3">
      <c r="A46" s="218" t="s">
        <v>357</v>
      </c>
    </row>
    <row r="47" spans="1:2" x14ac:dyDescent="0.3">
      <c r="A47" s="220" t="s">
        <v>339</v>
      </c>
    </row>
    <row r="48" spans="1:2" x14ac:dyDescent="0.3">
      <c r="A48" s="219" t="s">
        <v>440</v>
      </c>
    </row>
    <row r="49" spans="1:2" x14ac:dyDescent="0.3">
      <c r="A49" s="220" t="s">
        <v>433</v>
      </c>
    </row>
    <row r="50" spans="1:2" x14ac:dyDescent="0.3">
      <c r="A50" s="218" t="s">
        <v>441</v>
      </c>
    </row>
    <row r="51" spans="1:2" x14ac:dyDescent="0.3">
      <c r="A51" s="220" t="s">
        <v>444</v>
      </c>
    </row>
    <row r="52" spans="1:2" x14ac:dyDescent="0.3">
      <c r="B52" s="223">
        <f>B1+B15+B24+B38</f>
        <v>44</v>
      </c>
    </row>
  </sheetData>
  <sortState ref="A39:A51">
    <sortCondition ref="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ECHENAGUCIA</vt:lpstr>
      <vt:lpstr>GERLI 2</vt:lpstr>
      <vt:lpstr>PIÑEYRO</vt:lpstr>
      <vt:lpstr>VILLA MARCONI</vt:lpstr>
      <vt:lpstr>resumen D50</vt:lpstr>
      <vt:lpstr>registrados para resumen</vt:lpstr>
      <vt:lpstr>grilla de niveles</vt:lpstr>
      <vt:lpstr>Hoja1</vt:lpstr>
      <vt:lpstr>ECHENAGUCIA!Área_de_impresión</vt:lpstr>
      <vt:lpstr>PIÑEYRO!Área_de_impresión</vt:lpstr>
      <vt:lpstr>'VILLA MARCONI'!Área_de_impresión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Sosa</dc:creator>
  <cp:lastModifiedBy>federico linari</cp:lastModifiedBy>
  <cp:lastPrinted>2018-02-12T23:19:30Z</cp:lastPrinted>
  <dcterms:created xsi:type="dcterms:W3CDTF">2015-09-18T03:19:28Z</dcterms:created>
  <dcterms:modified xsi:type="dcterms:W3CDTF">2020-02-25T23:21:50Z</dcterms:modified>
</cp:coreProperties>
</file>